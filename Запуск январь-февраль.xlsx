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ды Паша" sheetId="1" r:id="rId4"/>
    <sheet state="visible" name="Лиды Алина" sheetId="2" r:id="rId5"/>
    <sheet state="visible" name="Оплаты" sheetId="3" r:id="rId6"/>
    <sheet state="visible" name="дашборд" sheetId="4" r:id="rId7"/>
  </sheets>
  <definedNames>
    <definedName hidden="1" localSheetId="2" name="_xlnm._FilterDatabase">'Оплаты'!$A$1:$V$104</definedName>
  </definedNames>
  <calcPr/>
  <pivotCaches>
    <pivotCache cacheId="0" r:id="rId8"/>
  </pivotCaches>
  <extLst>
    <ext uri="GoogleSheetsCustomDataVersion2">
      <go:sheetsCustomData xmlns:go="http://customooxmlschemas.google.com/" r:id="rId9" roundtripDataChecksum="iUChsK/xKX7wm9YzWvKctzEgplxVfewIfFC5hOrqSl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3">
      <text>
        <t xml:space="preserve">======
ID#AAACBPZ61ao
tc={884f1c1b-b0e6-4e63-bde0-0cae210cba9d}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79990</t>
      </text>
    </comment>
    <comment authorId="0" ref="E21">
      <text>
        <t xml:space="preserve">======
ID#AAACBPZ61ac
tc={45b95d38-a43e-4ae9-875e-5a96b83217c2}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54900</t>
      </text>
    </comment>
    <comment authorId="0" ref="E34">
      <text>
        <t xml:space="preserve">======
ID#AAACBPZ61aQ
tc={63aaa719-3c0a-4b4b-9c73-110592d6adfd}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79990</t>
      </text>
    </comment>
    <comment authorId="0" ref="E31">
      <text>
        <t xml:space="preserve">======
ID#AAACBPZ61aM
tc={99ecd43c-3d3e-4853-973f-ed1fa25c4e7d}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54990</t>
      </text>
    </comment>
    <comment authorId="0" ref="E29">
      <text>
        <t xml:space="preserve">======
ID#AAACBPZ61ak
tc={d7444e25-921c-4fa9-8b1e-f60924bb8a21}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29900</t>
      </text>
    </comment>
    <comment authorId="0" ref="E44">
      <text>
        <t xml:space="preserve">======
ID#AAACBPZ61aU
tc={ef22abdd-29cd-44e0-a4eb-6d5836ec9b5a}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31491</t>
      </text>
    </comment>
    <comment authorId="0" ref="E25">
      <text>
        <t xml:space="preserve">======
ID#AAACBPZ61ag
tc={4e75d070-9e31-4eeb-9ba2-30592d70b303}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16650</t>
      </text>
    </comment>
    <comment authorId="0" ref="E23">
      <text>
        <t xml:space="preserve">======
ID#AAACBPZ61aY
tc={03cdbda6-7d3a-401b-b682-618a68285317}    (2026-07-20 13:37:50)
[Цепочка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39900</t>
      </text>
    </comment>
  </commentList>
  <extLst>
    <ext uri="GoogleSheetsCustomDataVersion2">
      <go:sheetsCustomData xmlns:go="http://customooxmlschemas.google.com/" r:id="rId1" roundtripDataSignature="AMtx7mhgD+f8rvGEcZ9QSodSz4qy3K9wvQ=="/>
    </ext>
  </extLst>
</comments>
</file>

<file path=xl/sharedStrings.xml><?xml version="1.0" encoding="utf-8"?>
<sst xmlns="http://schemas.openxmlformats.org/spreadsheetml/2006/main" count="1201" uniqueCount="477">
  <si>
    <t>Дата заявки</t>
  </si>
  <si>
    <t>телефон</t>
  </si>
  <si>
    <t>телеграм</t>
  </si>
  <si>
    <t>имя</t>
  </si>
  <si>
    <t>доход (для будущих заявок)</t>
  </si>
  <si>
    <t>задача</t>
  </si>
  <si>
    <t>статус</t>
  </si>
  <si>
    <t>тариф</t>
  </si>
  <si>
    <t>Руб</t>
  </si>
  <si>
    <t>Чистыми</t>
  </si>
  <si>
    <t>Тип оплаты</t>
  </si>
  <si>
    <t>Действие</t>
  </si>
  <si>
    <t>Екатерина</t>
  </si>
  <si>
    <t>Что_не_устраивает_: нужно четкое планирование и понимание того,
 как распределить доходы, чтобы иметь возможность накапливать
 и инвестировать с горизонтом 10-15 лет.</t>
  </si>
  <si>
    <t>купила</t>
  </si>
  <si>
    <t>куратор</t>
  </si>
  <si>
    <t>Таня</t>
  </si>
  <si>
    <t>Сейчас своего дохода нетСейчас своего дохода нет
Опишите_свой_запрос_на_работу_с_финансами__Что_не_
устраивает_: Не могу планировать бюджет
Checkbox: yes</t>
  </si>
  <si>
    <t>звонок в 12 МСК 27 го /не проеби/ндз в 12/в 16 ндз/смс в тг/не вышла на свзяь, не было конекта
ждет бабки</t>
  </si>
  <si>
    <t>Мария</t>
  </si>
  <si>
    <t>Опишите_свой_запрос_на_работу_с_финансами__Что_не_устраивае
_: Не могу планировать бюджетОпишите_свой_запрос_на_работу_с_
финансами__Что_не_устраивает_: Планирование и накопление</t>
  </si>
  <si>
    <t>был конект в процессе решения/пока не готов, пригласил на веб, следит в канале/сказала что 
не звонить ей и не писать, есди надумает то сама в состоянии написать</t>
  </si>
  <si>
    <t>Данил</t>
  </si>
  <si>
    <t>Checkbox: yesОпишите_свой_запрос_на_работу_с_финансами__Что_не
_устраивает_: Хочу на последний поток)</t>
  </si>
  <si>
    <t>не получилось созвон, он в хз где там херовая сеть
/голосвые и видо у него откдючены/с сетью постоянно траблы, не было конекта</t>
  </si>
  <si>
    <t>голосовое в личку записал</t>
  </si>
  <si>
    <t>Гульнара</t>
  </si>
  <si>
    <t>Опишите_свой_запрос_на_работу_с_финансами__Что_не_устраивает
_: Нет накоплений. Стихийные траты. Неумение управлять финансами</t>
  </si>
  <si>
    <t>26 го после 12 МСК/не дозвонился/ндз /ндз 3/смс в тг актально?не ответила/опять ндз, конекта не было</t>
  </si>
  <si>
    <t>Ольга</t>
  </si>
  <si>
    <t>Опишите_свой_запрос_на_работу_с_финансами__Что_не_устраивает_: Долгосрок</t>
  </si>
  <si>
    <t>ндз 1 /ндз 2/еще касание/ндз/не вышла на связь/ждет пакет, у Василия был коннект,</t>
  </si>
  <si>
    <t>Гриша</t>
  </si>
  <si>
    <t>Опишите_свой_запрос_на_работу_с_финансами__Что_не_устраивает_: 
Отсутствие планирования</t>
  </si>
  <si>
    <t>отказ /пережан Васе на дожим</t>
  </si>
  <si>
    <t>Катя</t>
  </si>
  <si>
    <t>Опишите_свой_запрос_на_работу_с_финансами__Что_не_устраивает_: Зарплата тратится в ноль, откладывать не получается, с трудом дотягиваем до новой зарплаты</t>
  </si>
  <si>
    <t>сам</t>
  </si>
  <si>
    <t>расср</t>
  </si>
  <si>
    <t>Светлана</t>
  </si>
  <si>
    <t>Веду только учет трат. Не получается ни накопить, ни спланировать бюджет. 
Всегда получается,  что все, что зарабатывается, тратится до копейки.</t>
  </si>
  <si>
    <t>Валя</t>
  </si>
  <si>
    <t>Доброе утро. Мой возраст 58 лет, пока работаю в найме и получаю пенсию. 
Есть возможность направлять тысяч 20 на инвестицирование. Нет понимания 
куда вкладывать такие суммы, чтобы чтобы они не на счетах лежали, а а как-то не росли
. В зависимости от цены и формата обучения приму решение.</t>
  </si>
  <si>
    <t>Надежда</t>
  </si>
  <si>
    <t>Мой доход — это все деньги семьи. При этом я не контролирую часть расходов 
(их совершает муж).
Большая часть расходов — постоянные платежи: ипотека, кредит, коммуналка,
 школа сына. Мне удается что-то откладывать на отпуск и внезапные расходы и 
отдельно «на черный день»: у меня две «копилки».</t>
  </si>
  <si>
    <t>Подумает, кеонект был, в процесее. Пойдет на веб(сказала чтобы не сильно спамили) 
////еще касание было////уточняй что да как? пойдет?</t>
  </si>
  <si>
    <t xml:space="preserve">Таиси </t>
  </si>
  <si>
    <t>полная</t>
  </si>
  <si>
    <t>Олья</t>
  </si>
  <si>
    <t>Опишите_свой_запрос_на_работу_с_финансами__Что_не_устраивает_: 
Научиться жить по средствам, избавиться от кредитных карт, накопить
на подушку безопасности и откладывать на цели</t>
  </si>
  <si>
    <t>по цене не устраивает/записал ей гс/потом если нет на куржок Васе</t>
  </si>
  <si>
    <t>Опишите_свой_запрос_на_работу_с_финансами__Что_не_устраивает_: 
хочу сбалансировать свои текущие расходы и доходы</t>
  </si>
  <si>
    <t>оплатила</t>
  </si>
  <si>
    <t>Лаександра</t>
  </si>
  <si>
    <t>Абсолютно никаким образом не управляю деньгами. Деньги вроде как есть,
 но их вроде как бы и нет. С темой денег у меня большие проблемы, с
 детства живу с установкой - "Большие деньги - большие проблемы".
 Этой моя первая попытка, хоть как-то вникнуть в эту сферу.</t>
  </si>
  <si>
    <t>был конект в процессе решения/пока нет, ждет веб/отказ, не подошла подача/обьяснять не стала/скинула/кружок</t>
  </si>
  <si>
    <t>Оля</t>
  </si>
  <si>
    <t>Долги</t>
  </si>
  <si>
    <t>был коннект /пердал Васе на куржок, согласилась выйти на встечу см ним</t>
  </si>
  <si>
    <t>Евгений</t>
  </si>
  <si>
    <t>Опишите_свой_запрос_на_работу_с_финансами__Что_не_устраивает_: Непонятно 
куда уходят деньги, бесконтрольный бюджет</t>
  </si>
  <si>
    <t>ндз1/ндз2/смс в тг и там ндз/не было конекта/ндз /ндз опять</t>
  </si>
  <si>
    <t>Иван</t>
  </si>
  <si>
    <t>Нет инструмента удобного (планирую в экселе только очень крупными мазками на 
полгода + есть стратегия на 3-5 лет, но она не формализована, только в голове), 
нет времени на то чтобы его создать, и, самое главное, хоть я и считаю себя +/- 
понимающим в финансах, думаю сейчас у тебя точно есть чему поучиться.</t>
  </si>
  <si>
    <t>был конект в процессе решения/ндз еще смс на тг/ндз/смс на тг придешь?/звонок 3 го в районе 14</t>
  </si>
  <si>
    <t>Эльвира</t>
  </si>
  <si>
    <t>Опишите_свой_запрос_на_работу_с_финансами__Что_не_устраивает_: Увеличить доход
, управлять расходами, закрыть кредитку и понять, как инвестировать</t>
  </si>
  <si>
    <t>не было коннектазвонок в 12 МСК 27 го /не проеби/ндз в 12/ндз в 12 и в 15/смс на тг акутально?не ответила/</t>
  </si>
  <si>
    <t>Олеся</t>
  </si>
  <si>
    <t>Закрыть кредиты, начать формировать подушку безопасности</t>
  </si>
  <si>
    <t>ндз1/ндз2/смс в тг и там ндз/и еще раз ндз</t>
  </si>
  <si>
    <t>Елена</t>
  </si>
  <si>
    <t>Ощущение, что я в постоянной гонке за дополнительным доходом</t>
  </si>
  <si>
    <t>Интерес к старому курсу за 29006 в процессе</t>
  </si>
  <si>
    <t>Вот вы в канале описали человека, у которого горизонт планирования месяц — это я</t>
  </si>
  <si>
    <t>загран номер, смс в тг/вышла на связь, спрашивает сроки и цену конект в тг/мне неотв, можно на кружок ее</t>
  </si>
  <si>
    <t>Вика</t>
  </si>
  <si>
    <t>Короткий срок планирования, не умею откладывать деньги, не могу выйти на новый
уровень дохода, долги</t>
  </si>
  <si>
    <t>Лена</t>
  </si>
  <si>
    <t xml:space="preserve">Не понимаю как из бюджета извлечь выгоду. Пока только фиксирую расходы в 
</t>
  </si>
  <si>
    <t>испорчена кр история, на родственника не может формииь, не работает сейчас находится в отпуске, дорого для нее</t>
  </si>
  <si>
    <t>Маргарита</t>
  </si>
  <si>
    <t>Я не понимаю как строить долгосрочный финансовый план, хотела бы узнать дополните
льные инструменты и источники дохода</t>
  </si>
  <si>
    <t>зум проведен, хочет на веб прийти еще, дедлай озвучен/хочет на веб/не писать ей до веба просила
откзалась /не сейчас/обьяснять не стала/на крудок Васе</t>
  </si>
  <si>
    <t>Наталья</t>
  </si>
  <si>
    <t>У меня куча долгов и нет системы.</t>
  </si>
  <si>
    <t>отказалась говорить, не удобно скинула, написать ей втг/написал/ндз 1</t>
  </si>
  <si>
    <t>Саглар</t>
  </si>
  <si>
    <t>Не получается накопить</t>
  </si>
  <si>
    <t>передал Василию на перс</t>
  </si>
  <si>
    <t>Юлия</t>
  </si>
  <si>
    <t>Не получается выстроить систему и применить теорию на практике в своей жизни. 
Не умею планировать. Хочется и жить лучше сейчас, и закрыть долгосрочные цели 
с ипотекой, обучением детей, жизнью на пенсии</t>
  </si>
  <si>
    <t>Алексей</t>
  </si>
  <si>
    <t>Получить стороннеё мнение по управлению финансами. Стуктурировать работу 
с бюджетом.</t>
  </si>
  <si>
    <t>, взял небольшой таймаут , адекват/перстал выходить на связь/ндз/ндз/Васе на кружок</t>
  </si>
  <si>
    <t>Анна</t>
  </si>
  <si>
    <t>Желание научиться управлять своими финансами. Увеличить свои доходы, создать
 подушку безопастности. На будующее, правильно инвестировать свои средства.</t>
  </si>
  <si>
    <t>/отказ/обяьснять что либо отказалась</t>
  </si>
  <si>
    <t>Оксана</t>
  </si>
  <si>
    <t>Не устраивает, что в финансах хаос</t>
  </si>
  <si>
    <t>Света</t>
  </si>
  <si>
    <t>Анализ бюджета, рост доходов, анализ ЛФП, навык делать это все быстро на 
постоянной основе</t>
  </si>
  <si>
    <t>Андрей</t>
  </si>
  <si>
    <t>Доход вроде хороший, но все тратится в ноль. Нет ни подушки, не сбережений.</t>
  </si>
  <si>
    <t>Будет думать до завтра, преза у него, хочет поразбираться, вопросов не задавал особо, у жены
 рак, сложные времена, можно пушить на перс его</t>
  </si>
  <si>
    <t>Алиса</t>
  </si>
  <si>
    <t>Начать стабильно вести семейный бюджет. Правильно выстроить оптимизацию
 без снижения уровня жизни, а дельту перераспределить на долгосрочные цели 
(пенсия, обучение ребенка, покупка квартиры)</t>
  </si>
  <si>
    <t xml:space="preserve">жду почту вн рассрочка по 16500. самозапреты фссп/оплатила </t>
  </si>
  <si>
    <t>Нет системы планирования бюджета. Грядёт увеличение расходов в этом году 
(детское образование), хочется при этом сохранить уровень жизни.</t>
  </si>
  <si>
    <t>С василием</t>
  </si>
  <si>
    <t>Любовь</t>
  </si>
  <si>
    <t>Хочу накопить на машину и пенсию, эффективно распоряжаться собственными 
финансами, увеличить доход</t>
  </si>
  <si>
    <t>оплтила</t>
  </si>
  <si>
    <t>Полина</t>
  </si>
  <si>
    <t>Увеличить источники дохода</t>
  </si>
  <si>
    <t>Ксения</t>
  </si>
  <si>
    <t>Не хватает системы и плана</t>
  </si>
  <si>
    <t>нашала другой курс и там тренер у коготорого она уже училась/кружок</t>
  </si>
  <si>
    <t>Марина</t>
  </si>
  <si>
    <t>Найти денежные средства для отпуска.</t>
  </si>
  <si>
    <t>либо обуч либо персоналка /ждем инфо от нее/не пойду и не собираюсь</t>
  </si>
  <si>
    <t>С ВЕБА</t>
  </si>
  <si>
    <t>200.000 - 300.000 руб./мес</t>
  </si>
  <si>
    <t>Живу все время в минус) при этом свой доход я вырастила за три года х5. 
тратить не умею пока думаю о вашей группе, хочу понять стоимость</t>
  </si>
  <si>
    <t>С Василием</t>
  </si>
  <si>
    <t>Ильдар</t>
  </si>
  <si>
    <t>50.000-100.000 руб./мес</t>
  </si>
  <si>
    <t>Научиться правильному планированию, изучить дерево роста</t>
  </si>
  <si>
    <t>по вн рассрочке его в прниципе наверное можно было бы завести/что с ним делать Василий? фссп/долги</t>
  </si>
  <si>
    <t>вн рассорчка 6 мес</t>
  </si>
  <si>
    <t>100.000-200.000 руб./мес</t>
  </si>
  <si>
    <t>Деньги «утекают». Много стихийных трат. Нет подушки безопасности.</t>
  </si>
  <si>
    <t>оплатила на 6 платежей</t>
  </si>
  <si>
    <t>300.000 руб+/мес</t>
  </si>
  <si>
    <t>Системной работы, фактически, нет. Регулярно записываю расходы,
 но как-то целенаправленно их не анализирую. Финансового плана 
(краткосрочного и долгосрочного) тоже нет, при этом деньги утекают, 
несмотря на неплохой доход Очень хотелось бы: 1. Навести порядок в 
финансах и снизить тревожность 2. Снизить кредитную нагрузку 3. 
Перестать беспокоиться о том, что денег не хватит 4. 
Иметь большую свободу в выборе работы, уходить, если не нравится, не переживая за фин стабильность</t>
  </si>
  <si>
    <t>Svetlana</t>
  </si>
  <si>
    <t>Нужно закрыть долги и наладить бюджет так, чтобы не брать кредиты</t>
  </si>
  <si>
    <t>Ирина</t>
  </si>
  <si>
    <t>Генерить доход на пенсию и образование</t>
  </si>
  <si>
    <t>Хочу научиться планировать бюджет на долгосрочный срок</t>
  </si>
  <si>
    <t>был созвон /спрашивала по тарифам/ в процессе</t>
  </si>
  <si>
    <t>Не умею планировать, не остается запаса, уровень жизни стоит на месте и срочно нужно купить квартиру</t>
  </si>
  <si>
    <t>Хочу быстрее избавиться от кредитов и накопить</t>
  </si>
  <si>
    <t>Бюджет в 0, не удаётся избавиться от кредитов и долгов(оплачиваю, 
влезаю в новые и так по кругу), + сейчас меняю работу, подушки нет.</t>
  </si>
  <si>
    <t xml:space="preserve">у нее вообще нет денег /долги и по ходу с банками </t>
  </si>
  <si>
    <t>Галина</t>
  </si>
  <si>
    <t>я на пенсии, 64года, самозанятая, психолог и астро-психолог, с доходом активным 
нестабильным, от 60.000р до 160.000-180.000р (это редко). нужно собрать капитал 
от 3млн рублей в ОФЗ с фиксированным доходом. для пассивного дохода ежемесячного 
от 10.000р (на февраль 2026) без потери самого 
тела капитала. самая большая часть расхода - на дорогие обучения (150.000р 
примерно раз в год плюс еще "мелкие" обучения- около 100.000 в целом в год). весь к
апитал держать в бумагах опасаюсь ввиду геополитики и непредсказуемости рынка.
но даже если бы и планировать столько собрать именно для ОФЗ десятилетних с фикс.
 купоном- у меня не получается почему-то. как только доходит до 1,5млн - начинаются 
какие-то непредвиденные расходы. раньше это было хотя бы до 1млн. сейчас уже ближе 
к 1,5млн). но что-то такое тут есть. как будто
 страх больших сумм или страх их потерять и не простить себе. хотя был опыт и потерь
 более 100тр, и не сказать, чтоб смертельно переживался он, но как заноза помнится. 
спасибо. PS мой телефон вне сети когда я работаю. лучше сначала смс согласовать в
ремя созвона. спасибо</t>
  </si>
  <si>
    <t>оплатила 34990</t>
  </si>
  <si>
    <t xml:space="preserve">	
Marina</t>
  </si>
  <si>
    <t>30.000-50.000 руб./мес</t>
  </si>
  <si>
    <t>Не могу вылезти из кредитов, кредитов, отложить. Не могу составить работающую таблице доходов-расходоа и запланировать все расходы.</t>
  </si>
  <si>
    <t>ндз смс тг/ндз /и опячть. ндз/ндз/ндз/кружок</t>
  </si>
  <si>
    <t>кружок не стал записывать - отозвалась</t>
  </si>
  <si>
    <t>Являюсь перевалочным пункт по перекач и денег,все что приходит отдаю.
 Поэтому отметила,что своего дохода не имею. У меня нет свободных личных денег 
и это состояние мне не нравится.</t>
  </si>
  <si>
    <t>был звонок, в процессе решения , дедлайн проставлен/ебонашка/кружок</t>
  </si>
  <si>
    <t>написал в личку</t>
  </si>
  <si>
    <t>ндз смс тг/не отв/нет тел/что за лид ???куржок</t>
  </si>
  <si>
    <t>кружок записал</t>
  </si>
  <si>
    <t>Участвовала в прошлый раз, но не прошла до конца. Попробую ещё раз наладить отношения с деньгами. Много получаю, мало сохраняю, вообще не накапливаю.</t>
  </si>
  <si>
    <t>оплатила 29900/с нее еще 5000 докинет 6 го</t>
  </si>
  <si>
    <t xml:space="preserve">	Хаос в финансах</t>
  </si>
  <si>
    <t>смс тг/ндз/ндз/после 13 МСК не удобно щас/ндз опять/отказалась/не сейчас</t>
  </si>
  <si>
    <t>Валентина</t>
  </si>
  <si>
    <t>Добрый день. Хочу увеличить доход и составлять план на все сроки.</t>
  </si>
  <si>
    <t xml:space="preserve">  у нее нет денег/пуш преза у нее/смс вопрос придешь?/ндз /ндз</t>
  </si>
  <si>
    <t>Здравствуйте. Кажется что моя зарплата большая (для меня), но уверенности в жизни нет: нет накоплений, нет вещей (на которые деньги потрачены), есть квартира в ипотеке (ипотека тоже не платиться ощутимо), ремонт тоже не продвигается. Деньги исчезают\утекают куда-то. Хочется обрести уверенность и спокойствие в жизни.</t>
  </si>
  <si>
    <t>смс тг нет тел/на кружок</t>
  </si>
  <si>
    <t>Вера</t>
  </si>
  <si>
    <t>Не веду бюджет, считаю рост доходов по росту возможностей, хаотически, 
хочу ясности в финансах и планах и понимание собственных возможностей.</t>
  </si>
  <si>
    <t>оплата по счету</t>
  </si>
  <si>
    <t>Нет долгосрочного плана накоплений и трат. Помимо обязательных расходов есть 
«хотелки» (иногда импульсивные), которые я быстро закрываю. Из-за этого 
появляется тревожность: кажется, что в будущем денег на что-то важное может 
не хватить. Также хочется оптимизировать и дополнить систему ведения бюджета.</t>
  </si>
  <si>
    <t>Не могу считать расходы. Несколько раз пробовала вести - не идёт ) Планы по расходам и доходам на год есть, но размытые. А в глобальном масштабе планов слишком много и на все денег не хватает )</t>
  </si>
  <si>
    <t>общать отказалась</t>
  </si>
  <si>
    <t>Хочу научиться планировать, не жить одним днем</t>
  </si>
  <si>
    <t xml:space="preserve">купила </t>
  </si>
  <si>
    <t>Хочу построить долгосрочный план</t>
  </si>
  <si>
    <t>Каения</t>
  </si>
  <si>
    <t>Нет системы. Нет понятия как планировать на год и более. Но хочу купить свой дом/квартиру. Правда пока не знаю где.</t>
  </si>
  <si>
    <t>смс тг/автоответчик/ндз /ндз/ ндз/на кружок</t>
  </si>
  <si>
    <t>кружок</t>
  </si>
  <si>
    <t>Хочется научиться планировать дальше, чем на месяц-год вперед; научиться определять степень необходимости и выгоды покупки; оптимизировать ведение своего бюджета; оптимизировать траты</t>
  </si>
  <si>
    <t>смс тг/не удобно /не звоните/куржок</t>
  </si>
  <si>
    <t>Тахмина</t>
  </si>
  <si>
    <t>10.000-30.000 руб./мес</t>
  </si>
  <si>
    <t>Хочу научиться составлять долгосрочный план</t>
  </si>
  <si>
    <t>нет тг/автоответчик /написал в тг/ответила на вотс</t>
  </si>
  <si>
    <t>Никита</t>
  </si>
  <si>
    <t>1)Хочу лучшую жизнь за те же деньги. 2) Вырасти в доходе на 20-30%. P. S. Интересует более подробно расписать в телеграмме про все три тарифа, которые есть: цена/что входит в тариф.</t>
  </si>
  <si>
    <t>54950оплатил</t>
  </si>
  <si>
    <t>Никогда не вела бюджет, научиться планировать на месяц, на год....</t>
  </si>
  <si>
    <t>Уменьшить расходы, создать дополнительный доход, накопить на подушку</t>
  </si>
  <si>
    <t>скорее всего куратором тг нет в вотсе написал/должен клюнуть/повторная юдозванивайся/ндз и отказ /куржок</t>
  </si>
  <si>
    <t>Нужно понять где искать источники пополнения бюджета. Работаю в найме. Менять работу не собираюсь. Плюс высокая кредитная нагрузка.</t>
  </si>
  <si>
    <t>нет тел/смс тг/на кружок</t>
  </si>
  <si>
    <t>кружок заблокироавн - напишу сообщение</t>
  </si>
  <si>
    <t>Александра</t>
  </si>
  <si>
    <t>Не хватает денег ни на что.. они как будто есть, на еду и что-то подобное, но когда 
нужно купить одежду, починить машину или сходить к врачу - я думаю где взять на 
это деньги.</t>
  </si>
  <si>
    <t>занята посто]нно не удно, преза у нее</t>
  </si>
  <si>
    <t>Есть краткосрочное планирование, но нет на год и далее. Есть уже представление о конкретных жизненных целях и событиях. Хочется получить инструменты планирования финансов для жизни в бОльших объемах чем неск. месяцев, видеть реальные цифры и проценты.</t>
  </si>
  <si>
    <t>Ссылка у нее 34990</t>
  </si>
  <si>
    <t>Элина</t>
  </si>
  <si>
    <t>Стала зарабатывать существенно меньше, нужен финансовый план.</t>
  </si>
  <si>
    <t>Красивая девушка</t>
  </si>
  <si>
    <t>Есть тревога, что уволят. Есть тревога, что я ставлю долгосрочные цели, а мир катится в тар тары и мои деньги сгорят.</t>
  </si>
  <si>
    <t xml:space="preserve">смс тг/ндз/ндз/на кужок </t>
  </si>
  <si>
    <t>Анастасия</t>
  </si>
  <si>
    <t>- удлинить горизонт планирования (с месяца+ до года+ и больше), научиться относиться к финансам стратегически - составить долгосрочный план - диверсифицировать источники дохода</t>
  </si>
  <si>
    <t>Олег</t>
  </si>
  <si>
    <t>Создать систему планирования и подобрать удобные инструменты для контроля финансов, чтобы иметь полное понимание ситуации с личными финансами в семье. Пришлите, пожалуйста, в телеграм ссылку на описание модулей с ценой на работу с куратором. Удобнее пообщаться в переписке</t>
  </si>
  <si>
    <t>смс тг/выспрашивал выспрашивал и по итогу загасился/кружок</t>
  </si>
  <si>
    <t xml:space="preserve">	200.000 - 300.000 руб./мес</t>
  </si>
  <si>
    <t>Нужно увеличить доход, научиться долгосрочному планированию и приобрести жилье</t>
  </si>
  <si>
    <t>елена</t>
  </si>
  <si>
    <t>Составить краткосрочный и долгосрочные планы</t>
  </si>
  <si>
    <t>Виктория</t>
  </si>
  <si>
    <t>Не знаю подойдет мне группа ли нет. Я в декрете с сентября. Декретные 55к/мес и только на полтора года. Подушки нет. Но и кредитов нет) До этого доход был 130к/мес Были попытки планирования бюджета на несколько месяцев вперёд, но это особо не приносило результата Поняла, что не поняла куда ушли деньги, когда при закрытии больничного по БиР, сразу упала сумма равная зп за несколько месяцев, которая куда то делась за очень короткий срок Хочется планировать, чтобы работало И сейчас как никогда актуален вопрос увеличения дохода Связывайтесь, пожалуйста, текстом, у меня ручной малыш, который спит только со мной, не всегда могу голосом отвечать))</t>
  </si>
  <si>
    <t>Камилла</t>
  </si>
  <si>
    <t>Выйти из долговой нагрузки и обеспечить пассивный доход равный текущему доходу</t>
  </si>
  <si>
    <t xml:space="preserve">смс тг/ндз/ндз/ндз но в тг отписала/в 17:40 звонок/ндз/не вышла на связь. </t>
  </si>
  <si>
    <t>смс тг с ней/нет тел/отписалась уточняет про посл запуск/куржок/нет тел/отказалась в тг/нет денег гооврит</t>
  </si>
  <si>
    <t>Нина</t>
  </si>
  <si>
    <t>На данный момент не могу определить идти ли на группу. А вообще научиться принимать финансовые решения, чтобы улучшать качество жизни</t>
  </si>
  <si>
    <t>преза у нее/дедлайн решение/должна зайти</t>
  </si>
  <si>
    <t>Хочу научиться планировать свой бюджет</t>
  </si>
  <si>
    <t>Отсутствие системы в финансах, кредит, нехватка финансов</t>
  </si>
  <si>
    <t>Начать вести бюджет на регулярной основе и научиться планировать на год</t>
  </si>
  <si>
    <t>поставлен дедлайн тяжко по деньгам /обсуждали сам/думаю зайдет</t>
  </si>
  <si>
    <t>Рита</t>
  </si>
  <si>
    <t>Хотелось бы понять и использовать стратегию соеднесрочного и долгосрочного планирования</t>
  </si>
  <si>
    <t xml:space="preserve">	300.000 руб+/мес</t>
  </si>
  <si>
    <t>Я уже брал личную консультацию у Василия. Смотрел в записи все три дня последнего практикума. Прошу выслать презентацию каждого дня. Спасибо.</t>
  </si>
  <si>
    <t>не пойдет, тольок презы запросил/кружок</t>
  </si>
  <si>
    <t>Есть ипотека, кредит. Нет сбережений. Страшно думать о будущем</t>
  </si>
  <si>
    <t>полс е16 будет свободна/ндз/ндз/не быо конекта/кружок?</t>
  </si>
  <si>
    <t>Радик</t>
  </si>
  <si>
    <t>смс тг /автоотвечтик/ндз /ндз/ндз</t>
  </si>
  <si>
    <t>Мне 50 лет, доход около 120 000 месяц, кредит на новый авто 25 000 (еще около 400 000 остаток долга) , 2-е детей 17 и 7 лет, живу в минус последние 2-3 года( накопила кредитку на 300 000 руб. хочу разобраться с дырами, закрыть кредиты, и панику по поводу дефицита денег...</t>
  </si>
  <si>
    <t xml:space="preserve">у нее вообще нет денег/тг нет в вотс </t>
  </si>
  <si>
    <t xml:space="preserve">	Деньги копятся, но нет системы и цели</t>
  </si>
  <si>
    <t>был коннект с ней еще раз/не звоните/я занята/презу еще раз /игнор</t>
  </si>
  <si>
    <t>Большая кредитная нагрузка, которая съедает большую часть дохода. 
Отсутствие подушки безопасности, свободных средств. 
Отсутствие свободных средств на накопления и инвестиции. 
Отсутствие пассивного дохода.</t>
  </si>
  <si>
    <t>преза у нее/дедлайн /сегодня вечером решение/2 обучения/лояльна, но не сейчас, занята в 2х обучениях</t>
  </si>
  <si>
    <t>Лилия</t>
  </si>
  <si>
    <t>Веду фактический учёт, но не знаю, как планировать, плюс хочется создавать пассивный доход для пенсии уже сейчас, пока есть время</t>
  </si>
  <si>
    <t>автоответчик/смс тг/звонок в 17 мск/ндз</t>
  </si>
  <si>
    <t>Юрий</t>
  </si>
  <si>
    <t>Не контролирую вообще. Хочу навести порядок, планировать и понимать как увеличивать доход.</t>
  </si>
  <si>
    <t>в процессе решения/дедлайн/завтра решит/не удобно еще звонок</t>
  </si>
  <si>
    <t>Сабина</t>
  </si>
  <si>
    <t>Сейчас своего дохода нет</t>
  </si>
  <si>
    <t>смс тг</t>
  </si>
  <si>
    <t>в 13-14 не проеби /был созвон дедлайн /решение</t>
  </si>
  <si>
    <t>У меня нет плана, планирование вызывает фрустрацию, нет ощущения контроля над финансами или финансовой безопасности</t>
  </si>
  <si>
    <t>смс тг /номер не рф/вх в тг выключены</t>
  </si>
  <si>
    <t>Нет четкого финансового плана. Нет долгосрочных целей. Деньги как приходят, так и уходят.</t>
  </si>
  <si>
    <t>смс тг/не удобно/суббота ближе к обеду</t>
  </si>
  <si>
    <t>смс тг/ндз/ндз ндз/ндз/был созвон, будет дкмать</t>
  </si>
  <si>
    <t>Александр</t>
  </si>
  <si>
    <t>Доход средний, много финансовых обязательств, не могу ни на что накопить или отложить на подушку безопасности. Не умею планировать</t>
  </si>
  <si>
    <t>не удобно, суббота в 13 МСК /будет думать но врядли....так как вообще не рассматривал обучение проходить</t>
  </si>
  <si>
    <t>Добрый вечер. Хотелось бы понять реально ли урезать расходы и как можно вложиться, чтоб получать пассивный доход именно с моими финансовыми возможностями.</t>
  </si>
  <si>
    <t xml:space="preserve">смс тг/ндз/ндз </t>
  </si>
  <si>
    <t>Роза</t>
  </si>
  <si>
    <t xml:space="preserve">	Не знаю, куда деваются деньги. И Хочется зарабатывать больше, откладывать.</t>
  </si>
  <si>
    <t xml:space="preserve">смс тг/после 17 МСК /ндз/ндз </t>
  </si>
  <si>
    <t>Сергей</t>
  </si>
  <si>
    <t xml:space="preserve">	50.000-100.000 руб./мес</t>
  </si>
  <si>
    <t>смс тг/не хочет созваниваться преза у него</t>
  </si>
  <si>
    <t>Научится не тратить больше чем необходимо Научится не тратить все в 0 Научится ставить цели и достигать их</t>
  </si>
  <si>
    <t>нет не интересовался/вы ошиблись</t>
  </si>
  <si>
    <t xml:space="preserve">	100.000-200.000 руб./мес</t>
  </si>
  <si>
    <t>Систематизировать свою работу с финансами. Узнать больше о возможных источников дохода</t>
  </si>
  <si>
    <t>купили</t>
  </si>
  <si>
    <t>Максим</t>
  </si>
  <si>
    <t>Есть система планирования бюджета. Хочу подробнее узнать о планировании доходов, облегчить мониторинг расходов. Узнать про инвестирование.</t>
  </si>
  <si>
    <t>в процессе/думкеет</t>
  </si>
  <si>
    <t>Всеволод</t>
  </si>
  <si>
    <t>Накопить, создать пассивный доход</t>
  </si>
  <si>
    <t>Имя</t>
  </si>
  <si>
    <t>Доход</t>
  </si>
  <si>
    <t>Запрос</t>
  </si>
  <si>
    <t>Статус договоренности</t>
  </si>
  <si>
    <t>Тариф</t>
  </si>
  <si>
    <t>Сумма тарифа</t>
  </si>
  <si>
    <t>Способ оплаты</t>
  </si>
  <si>
    <t>Дата оплаты</t>
  </si>
  <si>
    <t>Комментарий</t>
  </si>
  <si>
    <t>Хочу научиться планировать и навести порядок в финансах. Чтобы накопить на пенсию. и закрывать свои фин.цели</t>
  </si>
  <si>
    <t>Тотал игнор</t>
  </si>
  <si>
    <t xml:space="preserve">-20 по мск. сделала касание </t>
  </si>
  <si>
    <t>Яна</t>
  </si>
  <si>
    <t>Я ничего не делаю с деньгами, которые зарабатываю и накапливаю, поэтому переживаю, какую пользу они дадут мне в будущем. Хочу разобраться со своим подходом к деньгам на жизнь долгосрочно и научиться планировать крупные покупки, например квартиру. Но сейчас у меня нет никакого планирования и я думаю, могу ли я сама к этому подступиться или можно сократить путь с вашей помощью)</t>
  </si>
  <si>
    <t>Успешно</t>
  </si>
  <si>
    <t>сразу</t>
  </si>
  <si>
    <t>Хочу узнать о кешбеке, планировать , искать источники доходов</t>
  </si>
  <si>
    <t>Отказ клиента</t>
  </si>
  <si>
    <t xml:space="preserve">нет денег, 30к зарабатывает, все на съем кв уходит </t>
  </si>
  <si>
    <t>Майя</t>
  </si>
  <si>
    <t>Не могу накопить финансовую подушку. Живу в ноль или минус. Хочу научиться планировать.</t>
  </si>
  <si>
    <t>рассрочка</t>
  </si>
  <si>
    <t>Вячеслав</t>
  </si>
  <si>
    <t>Хочу найти точки роста дохода И научиться быстро планировать</t>
  </si>
  <si>
    <t xml:space="preserve">-1 по мск, не готов выделять на продукт 55к, максимум 30к, а тариф самостоятельный будет бесполезен </t>
  </si>
  <si>
    <t>Владимир</t>
  </si>
  <si>
    <t>Все хорошо</t>
  </si>
  <si>
    <t>Ильнур</t>
  </si>
  <si>
    <t>Маленькие доходы, нет плана по достижению целей</t>
  </si>
  <si>
    <t>Отказался от встречи: "На вебинаре, просили заполнить анкету, а так как я присоединился позже, прослушал, что за анкета, но все же заполнил"</t>
  </si>
  <si>
    <t>Кредиты, рассрочки, нет накоплений</t>
  </si>
  <si>
    <t>Нет навыка планирования, В финансах полный расколбас...</t>
  </si>
  <si>
    <t>10.000-30.000 руб./мес, Сейчас своего дохода нет</t>
  </si>
  <si>
    <t>Добрый день! Есть небольшой магазин на Wildberries, занимаюсь около 2 лет, но что то тормозит развиваться дальше, есть небольшой доход, но это скорее всего как хобби. Хочу добиться развития и чтобы прибыль приносил не менее 200 тыс рублей</t>
  </si>
  <si>
    <t xml:space="preserve">не могу найти + нецел запрос. по номеру в тг тоже нет, по нику - аналогично, не могу найти </t>
  </si>
  <si>
    <t>lisa761228</t>
  </si>
  <si>
    <t>Хочу сберегать деньги, желательно опережая инфляцию Хочу увеличить доход существующая база - у меня 2 источника, самозанятый, и работа</t>
  </si>
  <si>
    <t>Как ещё можно улучшить управление доходами и расходами, какие ещё можно применить эффективные методы. И самый главный вопрос на сегодня, как действовать, если все пошло не по плану (прилетел дрон, осталась без машины и частично разрушена квартира)</t>
  </si>
  <si>
    <t>Людмила</t>
  </si>
  <si>
    <t>Много кредитов Нет плана</t>
  </si>
  <si>
    <t>сделала касание, попросить еще васю - не отвечает</t>
  </si>
  <si>
    <t>Лариса</t>
  </si>
  <si>
    <t>В диалоге</t>
  </si>
  <si>
    <t xml:space="preserve">Контакт от Дианы (по старой базе заявок). отказ от встречи, направила презентацию </t>
  </si>
  <si>
    <t>Созвон проведен</t>
  </si>
  <si>
    <t xml:space="preserve">Контакт от Дианы (по старой базе заявок), оплата по внутренней рассрочке 19го февраля </t>
  </si>
  <si>
    <t>Являюсь перевалочным пункт по перекач и денег,все что приходит отдаю. Поэтому отметила,что своего дохода не имею. У меня нет свободных личных денег и это состояние мне не нравится.
В опросе на первом дне практикума набрала 3 балла, получается мне нужен бюджет меньше месяца,отнес Василий ничего не сказал.</t>
  </si>
  <si>
    <t>Заявки из Тильды, ведет павел</t>
  </si>
  <si>
    <t>У нас в семье меняется доход - я ухожу из найма в самозанятость (меняю профессию),мой регулярный доход будет меньше какое-то время, но есть накопления (в инвестициях) и в будущем фиксированная сумма, которые хочется эффективно вложить и в принципе большой семейный бюджет, которым надо более эффективно управлять. Хочу перестроить нашу семейную финансовую стратегию на долгосрочное планирование</t>
  </si>
  <si>
    <t>Татьяна</t>
  </si>
  <si>
    <t xml:space="preserve">	Сейчас своего дохода нет</t>
  </si>
  <si>
    <t>Проходят большие суммы, а управлять не умею</t>
  </si>
  <si>
    <t>ведет павел</t>
  </si>
  <si>
    <t>Отсутствие системы и навыкам планирования</t>
  </si>
  <si>
    <t xml:space="preserve">рассчроку банки не одрбряют, по внутренней идти - отказ </t>
  </si>
  <si>
    <t>Алла</t>
  </si>
  <si>
    <t>Перестать только оптимизировать расходы: начать планировать, а не вести таблицу по расходам; начать инвестировать; начать создавать пассивный доход к пенсии.</t>
  </si>
  <si>
    <t>вип</t>
  </si>
  <si>
    <t xml:space="preserve">Контакт от Дианы (по старой базе заявок)  не одобрил рассчроку банк, по внутренней - дорого </t>
  </si>
  <si>
    <t xml:space="preserve"> </t>
  </si>
  <si>
    <t>Софья</t>
  </si>
  <si>
    <t xml:space="preserve"> 300.000 руб+/мес</t>
  </si>
  <si>
    <t xml:space="preserve">нужна чисто конс с Васей, передала ему </t>
  </si>
  <si>
    <t>Хочу закрыть кредиты и накопить подушку, хочу перестать тревожиться о деньгах</t>
  </si>
  <si>
    <t>отправила отложку, сделала касание, попросить Васю - не отвечает, не выходит на звонок</t>
  </si>
  <si>
    <t>Эффективное на попадание свободными средствами, увеличение дохода</t>
  </si>
  <si>
    <t>плюс 2 по мск. ведет павел</t>
  </si>
  <si>
    <t xml:space="preserve">Хочу сделать подарок. Человек ведет бюджет. Будут интересны инструменты Василия. Хотел бы получить Тариф все сам. Сам обучался у Василия в Институте бизнес аналитики Колоколова на его первом запуске. Хотелось бы скидку. </t>
  </si>
  <si>
    <t>Уровень дохода, количество источников дохода. Хочу высокий пассивный доход. Улучшить качество жизни.</t>
  </si>
  <si>
    <t>Созвон назначен</t>
  </si>
  <si>
    <t>15 пт</t>
  </si>
  <si>
    <t xml:space="preserve">	Уровень дохода</t>
  </si>
  <si>
    <t>Не устраивает, что сосредоточена больше на расходах, чем на доходах. Не устраивает, что источник дохода всего один - зп и я зависима от своего работодателя.</t>
  </si>
  <si>
    <t>нет ответа после встр, касание от Васи</t>
  </si>
  <si>
    <t>Роман</t>
  </si>
  <si>
    <t>Не устраивает длительное отсутствие собственных стабильных источников дохода.</t>
  </si>
  <si>
    <t>-22 мск, СДЕЛАТЬ КАСАНИЕ</t>
  </si>
  <si>
    <t>Не удается откладывать достаточную сумму от доходов, все равно соблазняюсь и пользуюсь кредитками. Хочу воспользоваться семейной ипотекой, но первоначальный взнос маленький. Страшно идти в эту историю в одиночку, в разводе с маленьким ребенком. Думаю, надо идти ли на этот решительный шаг, если на работе нестабильно, на работе токсичный руководитель.</t>
  </si>
  <si>
    <t>сделала касание, попросить Васю - вывести на зум</t>
  </si>
  <si>
    <t>Ватсап не работает. Веду учет расходов и минимальные планы на год на рост капитала. Хотелось посмотреть что делаю не так. Ну и понять сколько стоит этот курс.</t>
  </si>
  <si>
    <t xml:space="preserve">отказ от встр, скинула презу - отказ </t>
  </si>
  <si>
    <t>Не могу подобрать инструмент для ведения бюджета и хочу, чтобы было больше доходов или чтобы удавалось закрывать свои потребности за счет планирования более эффективно.</t>
  </si>
  <si>
    <t>решение в 13:00</t>
  </si>
  <si>
    <t>Хотелось бы научиться составлять план, работать с ним, увеличивать источники дохода</t>
  </si>
  <si>
    <t>Я боюсь тратить деньги. Могу их только копить, но не использую их для заработка</t>
  </si>
  <si>
    <t xml:space="preserve">сделала касание, попросить Васю - вывести на зум </t>
  </si>
  <si>
    <t>Почти 40 лет. Хочу сформировать подушку безопасности и постараться обеспечить старость</t>
  </si>
  <si>
    <t>Живу в ноль. Из-за этого занимаюсь самобичеванием. 1) Хочется занять взрослую позицию в отношениях с финансами. 2) и выйти на уверенный вариант планирования ГОД :)</t>
  </si>
  <si>
    <t>Хочу поподробнее ознакомиться с курсом.</t>
  </si>
  <si>
    <t xml:space="preserve">игнор после зума, попросить васю записать кружок </t>
  </si>
  <si>
    <t>Необходимо накопить сумму на покупку квартиры. Нет системы на пенсионные ожидания (33 мне и 37 супругу). Старт для детей нет понимания. Непонятно, что прогнозировать на дальней дистанции Я ещё не вышла на работу, на одну зарплату вчетвером в Москве очень не комфортно жить.</t>
  </si>
  <si>
    <t>1 касание</t>
  </si>
  <si>
    <t>пн 15 17</t>
  </si>
  <si>
    <t>Моей зарплаты на основном месте 64 тыс хватает на 2 недели. Хочу зарабатывать больше и тратить разумнее</t>
  </si>
  <si>
    <t>Заявка с тильды, ведет Павел</t>
  </si>
  <si>
    <t>Кристина</t>
  </si>
  <si>
    <t>Не получается удержать накопленную финансовую подушку, не получается даже приблизиться к планированию, не понимаю как можно улучшить жилищные условия. Плюс желание не остаться на пенсии без денег</t>
  </si>
  <si>
    <t>Добрый день, хочется научится системно управлять финансами. Учитывать доходы и расходы в удобных таблицах, программах. Узнать больше возможностей, лайфхаков от специалиста в этой сфере.</t>
  </si>
  <si>
    <t>1.Мыслить в годовом горизонте - план составлен, но по презентации первого дня вижу, что так не сработает. Нужны шаги действий по реализации (не доработан план). 2. Нужно составить план на 5 лет для покупки квартиры от 20 млн и не ухудшить жизнь.</t>
  </si>
  <si>
    <t>при необходимости перейдет на тариф с кур с доплатой 20к</t>
  </si>
  <si>
    <t>30.000-50.000 руб./мес, 50.000-100.000 руб./мес</t>
  </si>
  <si>
    <t>Постоянные долги и невозможность копить, откладывать. Поменять квартиру на большую</t>
  </si>
  <si>
    <t>Хочу найти слепые зоны моего бюджета и перейти на уровень Жизнь</t>
  </si>
  <si>
    <t>ведет Павел</t>
  </si>
  <si>
    <t>Боюсь пенсии</t>
  </si>
  <si>
    <t>Галя</t>
  </si>
  <si>
    <t>Прирост дохода не устраивает. Запрос - научиться планированию на регулярной основе.</t>
  </si>
  <si>
    <t xml:space="preserve">скинула презу, от зума отказалась </t>
  </si>
  <si>
    <t>Дарья</t>
  </si>
  <si>
    <t>Деньги утекают не понятно куда. Пытаюсь накопить подушку безопасности, пока не получается. Закредитованность 😒</t>
  </si>
  <si>
    <t>плюс 2 мск ва, не одобрили рассрочку - обсудить с васей</t>
  </si>
  <si>
    <t>Работала в компании в найме в небольшой компании 13 лет, из них 9 лет на позиции зам.директора. Год назад уволилась, т.к. в некотором смысле начала ощущать потолок, к тому же в той сфере, к которой работала не видела перспективы запуска собственного дела, не хотелось оставаться в этой сфере. Выбрала новое направление по душе. Начала обучение. Год назад уволилась, продолжила учиться и начала вести частную практику. Заказы не стабильны, скорость работы пока не высокая. Финансовая подушка закончилась. Сейчас с помощью курса хочу простроить план увеличения доходов и выхода на желаемый уровень жизни. Ранее уже занималась финансовым планированием, но не получалось как раз обеспечить себе уровень дохода, который должен бы быть по моему же плану. В итоге план остался лежать на полке, оторванным от моей жизни. Хочу разработать план, который мне будет легко и понятно как внедрять в свою жизнь.</t>
  </si>
  <si>
    <t>А</t>
  </si>
  <si>
    <t>Веду табличку Доходы/расходы, но не понимаю, как растить/планировать это все.</t>
  </si>
  <si>
    <t xml:space="preserve">скинула презу, от зума отказалась - отказ от обучения </t>
  </si>
  <si>
    <t>Не умею планировать. Много кредитных обязательств.</t>
  </si>
  <si>
    <t xml:space="preserve"> Ann Ааааа</t>
  </si>
  <si>
    <t>Нестабильность заработка</t>
  </si>
  <si>
    <t>Деньги уходят сквозь пальцы. Хочу сейчас позаботится о своей пенсии</t>
  </si>
  <si>
    <t>Добрый вечер! Я стала вдовой 2 года назад. Моё финансовое обеспечение лежало на муже. На данный момент нахожусь в уязвимом материальном положении. Хочу научиться планированию доходов/ расходов.</t>
  </si>
  <si>
    <t>Валерия</t>
  </si>
  <si>
    <t>Увеличить свой доход, разобраться куда утекают деньги. Научиться формировать совместный семейный бюджет без ограничения второго человека в его тратах , но и не значит, что он может приносить в совместную «копилку» 10% от своего дохода. И остальное оставлять себе Я умею хорошо копить, откладывать и считать расходы, хочется это «распространить» на более крупные мазки (год/5 лет)</t>
  </si>
  <si>
    <t>Надоело копаться в расходах. Понимаю,что пора о доходах качественно подумать. Усложняется всё ещё тем, что уволили и сейчас осталась с минимумом проектов и надо перестроиться на другие рельсы</t>
  </si>
  <si>
    <t>Большая кредитная нагрузка, не хватает денег на ежемесячные потребности</t>
  </si>
  <si>
    <t>Нужно увеличить доход для создания подушки и регулярных накоплений. Цель - квартиры для детей и обеспечение уровня жизни на пенсии не ниже, чем сейчас.</t>
  </si>
  <si>
    <t>Евгения</t>
  </si>
  <si>
    <t>Полная финансовая неграмотность. В 44 года начинаю жить финансово независимо от родителей и бывшего мужа. Тревога от отсутствия понимания грамотного расхода и накопления денег.</t>
  </si>
  <si>
    <t xml:space="preserve">отказ от встр, неактуально </t>
  </si>
  <si>
    <t>Альбина</t>
  </si>
  <si>
    <t>Нет подушки Свободные деньги частенько растворяются, после внесения обязательных платежей.</t>
  </si>
  <si>
    <t>Антон</t>
  </si>
  <si>
    <t>Хочу научиться планировать на долгосрок</t>
  </si>
  <si>
    <t xml:space="preserve">плюс 4 мск </t>
  </si>
  <si>
    <t>Не знаю зачем мне большие деньги, не вижу смысла зарабатывать много</t>
  </si>
  <si>
    <t>вт 14</t>
  </si>
  <si>
    <t>Вообще не управляю финансами, нет подушки безопасности и непонятно как её копить</t>
  </si>
  <si>
    <t xml:space="preserve">оформила рассрочку, ждем охлаждение </t>
  </si>
  <si>
    <t>Перестало хватать на текущую жизнь, потеряла ощущение контроля, не управляю средствами, нет накоплений</t>
  </si>
  <si>
    <t>Алена</t>
  </si>
  <si>
    <t>Хочу построить планы на 5-10 лет вперед, найти, куда утекают средства, увеличить капитал</t>
  </si>
  <si>
    <t>работа с финансами ведется бессистемно и натужно, хотя накопления есть и положительное сальдо тоже есть. Плюс мне за пятьдесят и нужно учитывать то, что времени на цели у меня остается немного.</t>
  </si>
  <si>
    <t xml:space="preserve">плюс 2 мск, 15 вт </t>
  </si>
  <si>
    <t>Хочу получить финансовую грамотность</t>
  </si>
  <si>
    <t>Доброго времени суток! Прошу не звонить мне, а писать. Хотелось бы научиться находить возможности для дополнительного заработка и лучше управлять текущими деньгами, достигать крупных целей.</t>
  </si>
  <si>
    <t>номер заказа</t>
  </si>
  <si>
    <t>тг / номер тел</t>
  </si>
  <si>
    <t>Название тарифа</t>
  </si>
  <si>
    <t>Выручка</t>
  </si>
  <si>
    <t>Чистая прибыль</t>
  </si>
  <si>
    <t>Дебиторка</t>
  </si>
  <si>
    <t>Дата Оплаты</t>
  </si>
  <si>
    <t>Менеджер</t>
  </si>
  <si>
    <t>График платежей</t>
  </si>
  <si>
    <t>ОП</t>
  </si>
  <si>
    <t>Глеб</t>
  </si>
  <si>
    <t>Валентин</t>
  </si>
  <si>
    <t>Инна</t>
  </si>
  <si>
    <t>Саша</t>
  </si>
  <si>
    <t>ОП и Вася</t>
  </si>
  <si>
    <t>Вася</t>
  </si>
  <si>
    <t>Светалана</t>
  </si>
  <si>
    <t>Паша</t>
  </si>
  <si>
    <t>Таисия</t>
  </si>
  <si>
    <t>16500 сразу, дажее через мес 16500, и еще раз через мес</t>
  </si>
  <si>
    <t>Юля</t>
  </si>
  <si>
    <t>5к перевод Васе на карту</t>
  </si>
  <si>
    <t>Алина</t>
  </si>
  <si>
    <t>2800 переплата от банка - разобраться</t>
  </si>
  <si>
    <t>Ира</t>
  </si>
  <si>
    <t>по счету</t>
  </si>
  <si>
    <t>доплата в пн</t>
  </si>
  <si>
    <t>Окснана</t>
  </si>
  <si>
    <t xml:space="preserve">куратор </t>
  </si>
  <si>
    <t>р.13 268,75</t>
  </si>
  <si>
    <t>06.03 - 13 750 / 06.04 - 13 750 / 07.05 - 13 750</t>
  </si>
  <si>
    <t>Настя</t>
  </si>
  <si>
    <t>Аня</t>
  </si>
  <si>
    <t xml:space="preserve">рассчрока </t>
  </si>
  <si>
    <t>07.03-11700; 07.04 - 11700</t>
  </si>
  <si>
    <t>при расширении до тарифа с куратором доплата до 79990</t>
  </si>
  <si>
    <t>возможно запросит договор , когда Василий свяжется</t>
  </si>
  <si>
    <t xml:space="preserve">рассрочка </t>
  </si>
  <si>
    <t xml:space="preserve">Татьяна </t>
  </si>
  <si>
    <t>ОП - Еще осенний лид по старым ценам</t>
  </si>
  <si>
    <t>Люба</t>
  </si>
  <si>
    <t>ЧП впишу, когда охлаждение закончится и просчитается на ГК наша прибыль</t>
  </si>
  <si>
    <t>купил обучение в подарок, надо отправить письмо на почту девушке с поздравлением с днем рождения 12.02 и добавить в группу обучения.</t>
  </si>
  <si>
    <t>график платежей: 10.03 - 13750; 10.04 - 13750; 10.05 - 13750</t>
  </si>
  <si>
    <t>11.02- 20.000/11.03 - 20.000/11.04 - 14.990</t>
  </si>
  <si>
    <t>13.03-8750; 13.04-8750; 13.05-8750</t>
  </si>
  <si>
    <t>14.03-11700;14.04-11700</t>
  </si>
  <si>
    <t>София</t>
  </si>
  <si>
    <t>1 конс</t>
  </si>
  <si>
    <t>рассрчока</t>
  </si>
  <si>
    <t>Итог:</t>
  </si>
  <si>
    <t>Итого</t>
  </si>
  <si>
    <t>план минимум</t>
  </si>
  <si>
    <t>план целевой</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</si>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</sst>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р.-419]#,##0.00"/>
    <numFmt numFmtId="165" formatCode="dd\.mm\.yyyy"/>
    <numFmt numFmtId="166" formatCode="dd\.mm"/>
    <numFmt numFmtId="167" formatCode="d\.m"/>
    <numFmt numFmtId="168" formatCode="[$р.-419]#,##0"/>
  </numFmts>
  <fonts count="23">
    <font>
      <sz val="10.0"/>
      <color rgb="FF000000"/>
      <name val="Arial"/>
      <scheme val="minor"/>
    </font>
    <font>
      <sz val="10.0"/>
      <color theme="1"/>
      <name val="Arial"/>
    </font>
    <font>
      <b/>
      <sz val="9.0"/>
      <color rgb="FF000000"/>
      <name val="Arial"/>
    </font>
    <font>
      <color theme="1"/>
      <name val="Arial"/>
      <scheme val="minor"/>
    </font>
    <font>
      <sz val="10.0"/>
      <color rgb="FF868686"/>
      <name val="Arial"/>
    </font>
    <font>
      <sz val="10.0"/>
      <color rgb="FF000000"/>
      <name val="Arial"/>
    </font>
    <font>
      <sz val="10.0"/>
      <color rgb="FF797979"/>
      <name val="Arial"/>
    </font>
    <font>
      <u/>
      <sz val="10.0"/>
      <color rgb="FF868686"/>
      <name val="Arial"/>
    </font>
    <font>
      <sz val="11.0"/>
      <color rgb="FF333333"/>
      <name val="Arial"/>
    </font>
    <font>
      <sz val="11.0"/>
      <color rgb="FF333333"/>
      <name val="Proxima Nova"/>
    </font>
    <font>
      <u/>
      <sz val="10.0"/>
      <color rgb="FF0000FF"/>
      <name val="Arial"/>
    </font>
    <font>
      <sz val="9.0"/>
      <color theme="1"/>
      <name val="Arial"/>
    </font>
    <font>
      <b/>
      <sz val="11.0"/>
      <color theme="1"/>
      <name val="Arial"/>
    </font>
    <font>
      <sz val="12.0"/>
      <color rgb="FF000000"/>
      <name val="Arial"/>
    </font>
    <font>
      <u/>
      <sz val="10.0"/>
      <color rgb="FF1155CC"/>
      <name val="Arial"/>
    </font>
    <font>
      <u/>
      <sz val="10.0"/>
      <color rgb="FF1155CC"/>
      <name val="Arial"/>
    </font>
    <font>
      <sz val="10.0"/>
      <color theme="1"/>
      <name val="Helvetica Neue"/>
    </font>
    <font>
      <u/>
      <sz val="10.0"/>
      <color rgb="FF1155CC"/>
      <name val="Arial"/>
    </font>
    <font>
      <u/>
      <sz val="10.0"/>
      <color rgb="FF1155CC"/>
      <name val="Arial"/>
    </font>
    <font>
      <b/>
      <sz val="10.0"/>
      <color theme="1"/>
      <name val="Arial"/>
    </font>
    <font>
      <u/>
      <sz val="10.0"/>
      <color rgb="FF1155CC"/>
      <name val="Arial"/>
    </font>
    <font>
      <i/>
      <sz val="10.0"/>
      <color theme="1"/>
      <name val="Arial"/>
    </font>
    <font>
      <sz val="14.0"/>
      <color theme="1"/>
      <name val="Arial"/>
    </font>
  </fonts>
  <fills count="27">
    <fill>
      <patternFill patternType="none"/>
    </fill>
    <fill>
      <patternFill patternType="lightGray"/>
    </fill>
    <fill>
      <patternFill patternType="solid">
        <fgColor rgb="FF93C47D"/>
        <bgColor rgb="FF93C47D"/>
      </patternFill>
    </fill>
    <fill>
      <patternFill patternType="solid">
        <fgColor rgb="FFD9EAD3"/>
        <bgColor rgb="FFD9EAD3"/>
      </patternFill>
    </fill>
    <fill>
      <patternFill patternType="solid">
        <fgColor rgb="FFCC0000"/>
        <bgColor rgb="FFCC0000"/>
      </patternFill>
    </fill>
    <fill>
      <patternFill patternType="solid">
        <fgColor rgb="FFC27BA0"/>
        <bgColor rgb="FFC27BA0"/>
      </patternFill>
    </fill>
    <fill>
      <patternFill patternType="solid">
        <fgColor rgb="FFB6D7A8"/>
        <bgColor rgb="FFB6D7A8"/>
      </patternFill>
    </fill>
    <fill>
      <patternFill patternType="solid">
        <fgColor rgb="FFD5A6BD"/>
        <bgColor rgb="FFD5A6BD"/>
      </patternFill>
    </fill>
    <fill>
      <patternFill patternType="solid">
        <fgColor rgb="FFFF0000"/>
        <bgColor rgb="FFFF0000"/>
      </patternFill>
    </fill>
    <fill>
      <patternFill patternType="solid">
        <fgColor rgb="FFF6B26B"/>
        <bgColor rgb="FFF6B26B"/>
      </patternFill>
    </fill>
    <fill>
      <patternFill patternType="solid">
        <fgColor rgb="FF990000"/>
        <bgColor rgb="FF990000"/>
      </patternFill>
    </fill>
    <fill>
      <patternFill patternType="solid">
        <fgColor rgb="FFC9DAF8"/>
        <bgColor rgb="FFC9DAF8"/>
      </patternFill>
    </fill>
    <fill>
      <patternFill patternType="solid">
        <fgColor rgb="FFE06666"/>
        <bgColor rgb="FFE06666"/>
      </patternFill>
    </fill>
    <fill>
      <patternFill patternType="solid">
        <fgColor rgb="FFFFFFFF"/>
        <bgColor rgb="FFFFFFFF"/>
      </patternFill>
    </fill>
    <fill>
      <patternFill patternType="solid">
        <fgColor rgb="FFFFD966"/>
        <bgColor rgb="FFFFD966"/>
      </patternFill>
    </fill>
    <fill>
      <patternFill patternType="solid">
        <fgColor rgb="FFA64D79"/>
        <bgColor rgb="FFA64D79"/>
      </patternFill>
    </fill>
    <fill>
      <patternFill patternType="solid">
        <fgColor rgb="FFF1C232"/>
        <bgColor rgb="FFF1C232"/>
      </patternFill>
    </fill>
    <fill>
      <patternFill patternType="solid">
        <fgColor rgb="FFCCCCCC"/>
        <bgColor rgb="FFCCCCCC"/>
      </patternFill>
    </fill>
    <fill>
      <patternFill patternType="solid">
        <fgColor rgb="FFCFE2F3"/>
        <bgColor rgb="FFCFE2F3"/>
      </patternFill>
    </fill>
    <fill>
      <patternFill patternType="solid">
        <fgColor rgb="FFFF9900"/>
        <bgColor rgb="FFFF9900"/>
      </patternFill>
    </fill>
    <fill>
      <patternFill patternType="solid">
        <fgColor rgb="FF00FF00"/>
        <bgColor rgb="FF00FF00"/>
      </patternFill>
    </fill>
    <fill>
      <patternFill patternType="solid">
        <fgColor rgb="FFF4CCCC"/>
        <bgColor rgb="FFF4CCCC"/>
      </patternFill>
    </fill>
    <fill>
      <patternFill patternType="solid">
        <fgColor rgb="FFFF00FF"/>
        <bgColor rgb="FFFF00FF"/>
      </patternFill>
    </fill>
    <fill>
      <patternFill patternType="solid">
        <fgColor rgb="FFFFFF00"/>
        <bgColor rgb="FFFFFF00"/>
      </patternFill>
    </fill>
    <fill>
      <patternFill patternType="solid">
        <fgColor theme="0"/>
        <bgColor theme="0"/>
      </patternFill>
    </fill>
    <fill>
      <patternFill patternType="solid">
        <fgColor rgb="FFE69138"/>
        <bgColor rgb="FFE69138"/>
      </patternFill>
    </fill>
    <fill>
      <patternFill patternType="solid">
        <fgColor rgb="FF999999"/>
        <bgColor rgb="FF999999"/>
      </patternFill>
    </fill>
  </fills>
  <borders count="18">
    <border/>
    <border>
      <left/>
      <right/>
      <top/>
      <bottom/>
    </border>
    <border>
      <left style="thin">
        <color rgb="FF000000"/>
      </left>
      <right style="thin">
        <color rgb="FF000000"/>
      </right>
      <top style="thin">
        <color rgb="FF000000"/>
      </top>
      <bottom style="thin">
        <color rgb="FF000000"/>
      </bottom>
    </border>
    <border>
      <left/>
      <right style="thin">
        <color rgb="FF000000"/>
      </right>
      <top/>
      <bottom style="thin">
        <color rgb="FF000000"/>
      </bottom>
    </border>
    <border>
      <left style="thin">
        <color rgb="FFCECECE"/>
      </left>
      <right style="thin">
        <color rgb="FFCECECE"/>
      </right>
      <top style="thin">
        <color rgb="FFCECECE"/>
      </top>
      <bottom style="thin">
        <color rgb="FFCECECE"/>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999999"/>
      </left>
      <top style="thin">
        <color rgb="FF999999"/>
      </top>
    </border>
    <border>
      <left style="thin">
        <color rgb="FFFFFFFF"/>
      </left>
      <top style="thin">
        <color rgb="FF999999"/>
      </top>
    </border>
    <border>
      <left style="thin">
        <color rgb="FFFFFFFF"/>
      </left>
      <right style="thin">
        <color rgb="FF999999"/>
      </right>
      <top style="thin">
        <color rgb="FF999999"/>
      </top>
    </border>
    <border>
      <top style="thin">
        <color rgb="FF999999"/>
      </top>
    </border>
    <border>
      <left style="thin">
        <color rgb="FF999999"/>
      </left>
      <right style="thin">
        <color rgb="FF999999"/>
      </right>
      <top style="thin">
        <color rgb="FF999999"/>
      </top>
    </border>
    <border>
      <left style="thin">
        <color rgb="FF999999"/>
      </left>
    </border>
    <border>
      <left style="thin">
        <color rgb="FF999999"/>
      </left>
      <right style="thin">
        <color rgb="FF999999"/>
      </right>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horizontal="center" shrinkToFit="0" wrapText="1"/>
    </xf>
    <xf borderId="0" fillId="0" fontId="3" numFmtId="0" xfId="0" applyAlignment="1" applyFont="1">
      <alignment readingOrder="0"/>
    </xf>
    <xf borderId="0" fillId="0" fontId="1" numFmtId="166" xfId="0" applyFont="1" applyNumberFormat="1"/>
    <xf borderId="0" fillId="0" fontId="4" numFmtId="0" xfId="0" applyFont="1"/>
    <xf borderId="1" fillId="2" fontId="1" numFmtId="0" xfId="0" applyAlignment="1" applyBorder="1" applyFill="1" applyFont="1">
      <alignment shrinkToFit="0" wrapText="1"/>
    </xf>
    <xf borderId="0" fillId="0" fontId="1" numFmtId="164" xfId="0" applyAlignment="1" applyFont="1" applyNumberFormat="1">
      <alignment horizontal="right"/>
    </xf>
    <xf borderId="2" fillId="0" fontId="1" numFmtId="164" xfId="0" applyAlignment="1" applyBorder="1" applyFont="1" applyNumberFormat="1">
      <alignment horizontal="right"/>
    </xf>
    <xf borderId="1" fillId="3" fontId="1" numFmtId="0" xfId="0" applyAlignment="1" applyBorder="1" applyFill="1" applyFont="1">
      <alignment shrinkToFit="0" wrapText="1"/>
    </xf>
    <xf borderId="0" fillId="0" fontId="5" numFmtId="0" xfId="0" applyFont="1"/>
    <xf borderId="0" fillId="0" fontId="5" numFmtId="0" xfId="0" applyAlignment="1" applyFont="1">
      <alignment shrinkToFit="0" wrapText="1"/>
    </xf>
    <xf borderId="1" fillId="4" fontId="1" numFmtId="0" xfId="0" applyAlignment="1" applyBorder="1" applyFill="1" applyFont="1">
      <alignment shrinkToFit="0" wrapText="1"/>
    </xf>
    <xf borderId="0" fillId="0" fontId="1" numFmtId="0" xfId="0" applyAlignment="1" applyFont="1">
      <alignment readingOrder="0"/>
    </xf>
    <xf borderId="1" fillId="5" fontId="1" numFmtId="0" xfId="0" applyAlignment="1" applyBorder="1" applyFill="1" applyFont="1">
      <alignment shrinkToFit="0" wrapText="1"/>
    </xf>
    <xf borderId="1" fillId="6" fontId="1" numFmtId="0" xfId="0" applyAlignment="1" applyBorder="1" applyFill="1" applyFont="1">
      <alignment shrinkToFit="0" wrapText="1"/>
    </xf>
    <xf borderId="1" fillId="7" fontId="1" numFmtId="0" xfId="0" applyAlignment="1" applyBorder="1" applyFill="1" applyFont="1">
      <alignment shrinkToFit="0" wrapText="1"/>
    </xf>
    <xf borderId="0" fillId="0" fontId="6" numFmtId="0" xfId="0" applyFont="1"/>
    <xf borderId="1" fillId="8" fontId="1" numFmtId="0" xfId="0" applyAlignment="1" applyBorder="1" applyFill="1" applyFont="1">
      <alignment shrinkToFit="0" wrapText="1"/>
    </xf>
    <xf borderId="0" fillId="0" fontId="1" numFmtId="167" xfId="0" applyFont="1" applyNumberFormat="1"/>
    <xf borderId="3" fillId="2" fontId="1" numFmtId="164" xfId="0" applyAlignment="1" applyBorder="1" applyFont="1" applyNumberFormat="1">
      <alignment horizontal="center"/>
    </xf>
    <xf borderId="3" fillId="9" fontId="1" numFmtId="164" xfId="0" applyAlignment="1" applyBorder="1" applyFill="1" applyFont="1" applyNumberFormat="1">
      <alignment horizontal="center"/>
    </xf>
    <xf borderId="0" fillId="0" fontId="7" numFmtId="0" xfId="0" applyFont="1"/>
    <xf borderId="1" fillId="10" fontId="1" numFmtId="0" xfId="0" applyAlignment="1" applyBorder="1" applyFill="1" applyFont="1">
      <alignment shrinkToFit="0" wrapText="1"/>
    </xf>
    <xf borderId="1" fillId="11" fontId="1" numFmtId="0" xfId="0" applyBorder="1" applyFill="1" applyFont="1"/>
    <xf borderId="1" fillId="11" fontId="1" numFmtId="0" xfId="0" applyAlignment="1" applyBorder="1" applyFont="1">
      <alignment shrinkToFit="0" wrapText="1"/>
    </xf>
    <xf borderId="0" fillId="0" fontId="3" numFmtId="0" xfId="0" applyAlignment="1" applyFont="1">
      <alignment shrinkToFit="0" wrapText="1"/>
    </xf>
    <xf borderId="0" fillId="0" fontId="1" numFmtId="165" xfId="0" applyFont="1" applyNumberFormat="1"/>
    <xf borderId="1" fillId="12" fontId="1" numFmtId="0" xfId="0" applyAlignment="1" applyBorder="1" applyFill="1" applyFont="1">
      <alignment shrinkToFit="0" wrapText="1"/>
    </xf>
    <xf borderId="1" fillId="13" fontId="8" numFmtId="0" xfId="0" applyBorder="1" applyFill="1" applyFont="1"/>
    <xf borderId="1" fillId="13" fontId="9" numFmtId="0" xfId="0" applyBorder="1" applyFont="1"/>
    <xf borderId="0" fillId="0" fontId="10" numFmtId="0" xfId="0" applyFont="1"/>
    <xf borderId="1" fillId="14" fontId="1" numFmtId="0" xfId="0" applyAlignment="1" applyBorder="1" applyFill="1" applyFont="1">
      <alignment shrinkToFit="0" wrapText="1"/>
    </xf>
    <xf borderId="0" fillId="0" fontId="1" numFmtId="165" xfId="0" applyAlignment="1" applyFont="1" applyNumberFormat="1">
      <alignment horizontal="right"/>
    </xf>
    <xf borderId="1" fillId="15" fontId="1" numFmtId="0" xfId="0" applyAlignment="1" applyBorder="1" applyFill="1" applyFont="1">
      <alignment shrinkToFit="0" wrapText="1"/>
    </xf>
    <xf borderId="4" fillId="13" fontId="9" numFmtId="0" xfId="0" applyAlignment="1" applyBorder="1" applyFont="1">
      <alignment shrinkToFit="0" wrapText="1"/>
    </xf>
    <xf borderId="1" fillId="16" fontId="1" numFmtId="0" xfId="0" applyAlignment="1" applyBorder="1" applyFill="1" applyFont="1">
      <alignment shrinkToFit="0" wrapText="1"/>
    </xf>
    <xf borderId="0" fillId="0" fontId="11" numFmtId="0" xfId="0" applyFont="1"/>
    <xf borderId="1" fillId="17" fontId="11" numFmtId="0" xfId="0" applyBorder="1" applyFill="1" applyFont="1"/>
    <xf borderId="2" fillId="18" fontId="12" numFmtId="0" xfId="0" applyAlignment="1" applyBorder="1" applyFill="1" applyFont="1">
      <alignment horizontal="center" shrinkToFit="0" wrapText="1"/>
    </xf>
    <xf borderId="2" fillId="18" fontId="12" numFmtId="164" xfId="0" applyAlignment="1" applyBorder="1" applyFont="1" applyNumberFormat="1">
      <alignment horizontal="center" shrinkToFit="0" wrapText="1"/>
    </xf>
    <xf borderId="2" fillId="0" fontId="1" numFmtId="165" xfId="0" applyAlignment="1" applyBorder="1" applyFont="1" applyNumberFormat="1">
      <alignment horizontal="right"/>
    </xf>
    <xf borderId="2" fillId="0" fontId="1" numFmtId="0" xfId="0" applyBorder="1" applyFont="1"/>
    <xf borderId="2" fillId="0" fontId="1" numFmtId="0" xfId="0" applyAlignment="1" applyBorder="1" applyFont="1">
      <alignment shrinkToFit="0" wrapText="1"/>
    </xf>
    <xf borderId="2" fillId="0" fontId="1" numFmtId="164" xfId="0" applyBorder="1" applyFont="1" applyNumberFormat="1"/>
    <xf borderId="2" fillId="19" fontId="1" numFmtId="0" xfId="0" applyAlignment="1" applyBorder="1" applyFill="1" applyFont="1">
      <alignment shrinkToFit="0" wrapText="1"/>
    </xf>
    <xf borderId="2" fillId="20" fontId="1" numFmtId="165" xfId="0" applyAlignment="1" applyBorder="1" applyFill="1" applyFont="1" applyNumberFormat="1">
      <alignment horizontal="right"/>
    </xf>
    <xf borderId="2" fillId="20" fontId="1" numFmtId="0" xfId="0" applyBorder="1" applyFont="1"/>
    <xf borderId="2" fillId="20" fontId="1" numFmtId="0" xfId="0" applyAlignment="1" applyBorder="1" applyFont="1">
      <alignment shrinkToFit="0" wrapText="1"/>
    </xf>
    <xf borderId="2" fillId="20" fontId="1" numFmtId="164" xfId="0" applyBorder="1" applyFont="1" applyNumberFormat="1"/>
    <xf borderId="2" fillId="20" fontId="1" numFmtId="166" xfId="0" applyBorder="1" applyFont="1" applyNumberFormat="1"/>
    <xf borderId="2" fillId="8" fontId="1" numFmtId="0" xfId="0" applyAlignment="1" applyBorder="1" applyFont="1">
      <alignment shrinkToFit="0" wrapText="1"/>
    </xf>
    <xf borderId="2" fillId="20" fontId="1" numFmtId="0" xfId="0" applyAlignment="1" applyBorder="1" applyFont="1">
      <alignment readingOrder="0"/>
    </xf>
    <xf borderId="2" fillId="0" fontId="1" numFmtId="0" xfId="0" applyAlignment="1" applyBorder="1" applyFont="1">
      <alignment readingOrder="0"/>
    </xf>
    <xf borderId="2" fillId="8" fontId="1" numFmtId="165" xfId="0" applyAlignment="1" applyBorder="1" applyFont="1" applyNumberFormat="1">
      <alignment horizontal="right"/>
    </xf>
    <xf borderId="2" fillId="8" fontId="1" numFmtId="0" xfId="0" applyBorder="1" applyFont="1"/>
    <xf borderId="2" fillId="8" fontId="1" numFmtId="164" xfId="0" applyBorder="1" applyFont="1" applyNumberFormat="1"/>
    <xf borderId="1" fillId="20" fontId="1" numFmtId="0" xfId="0" applyBorder="1" applyFont="1"/>
    <xf borderId="1" fillId="20" fontId="13" numFmtId="0" xfId="0" applyBorder="1" applyFont="1"/>
    <xf borderId="2" fillId="20" fontId="1" numFmtId="164" xfId="0" applyAlignment="1" applyBorder="1" applyFont="1" applyNumberFormat="1">
      <alignment horizontal="right"/>
    </xf>
    <xf borderId="2" fillId="0" fontId="1" numFmtId="0" xfId="0" applyAlignment="1" applyBorder="1" applyFont="1">
      <alignment horizontal="right"/>
    </xf>
    <xf borderId="2" fillId="0" fontId="1" numFmtId="0" xfId="0" applyAlignment="1" applyBorder="1" applyFont="1">
      <alignment horizontal="right" shrinkToFit="0" wrapText="1"/>
    </xf>
    <xf borderId="2" fillId="21" fontId="1" numFmtId="165" xfId="0" applyAlignment="1" applyBorder="1" applyFill="1" applyFont="1" applyNumberFormat="1">
      <alignment horizontal="right"/>
    </xf>
    <xf borderId="2" fillId="21" fontId="1" numFmtId="0" xfId="0" applyAlignment="1" applyBorder="1" applyFont="1">
      <alignment readingOrder="0"/>
    </xf>
    <xf borderId="2" fillId="21" fontId="1" numFmtId="0" xfId="0" applyBorder="1" applyFont="1"/>
    <xf borderId="2" fillId="21" fontId="1" numFmtId="0" xfId="0" applyAlignment="1" applyBorder="1" applyFont="1">
      <alignment shrinkToFit="0" wrapText="1"/>
    </xf>
    <xf borderId="2" fillId="21" fontId="1" numFmtId="164" xfId="0" applyBorder="1" applyFont="1" applyNumberFormat="1"/>
    <xf borderId="2" fillId="0" fontId="14" numFmtId="0" xfId="0" applyBorder="1" applyFont="1"/>
    <xf borderId="2" fillId="0" fontId="15" numFmtId="0" xfId="0" applyAlignment="1" applyBorder="1" applyFont="1">
      <alignment shrinkToFit="0" wrapText="1"/>
    </xf>
    <xf borderId="2" fillId="22" fontId="1" numFmtId="0" xfId="0" applyAlignment="1" applyBorder="1" applyFill="1" applyFont="1">
      <alignment shrinkToFit="0" wrapText="1"/>
    </xf>
    <xf borderId="2" fillId="8" fontId="1" numFmtId="164" xfId="0" applyAlignment="1" applyBorder="1" applyFont="1" applyNumberFormat="1">
      <alignment horizontal="right"/>
    </xf>
    <xf borderId="2" fillId="8" fontId="16" numFmtId="0" xfId="0" applyAlignment="1" applyBorder="1" applyFont="1">
      <alignment shrinkToFit="0" wrapText="1"/>
    </xf>
    <xf borderId="2" fillId="0" fontId="1" numFmtId="166" xfId="0" applyBorder="1" applyFont="1" applyNumberFormat="1"/>
    <xf borderId="2" fillId="20" fontId="16" numFmtId="0" xfId="0" applyAlignment="1" applyBorder="1" applyFont="1">
      <alignment shrinkToFit="0" wrapText="1"/>
    </xf>
    <xf borderId="2" fillId="8" fontId="17" numFmtId="0" xfId="0" applyBorder="1" applyFont="1"/>
    <xf borderId="2" fillId="8" fontId="18" numFmtId="0" xfId="0" applyAlignment="1" applyBorder="1" applyFont="1">
      <alignment shrinkToFit="0" wrapText="1"/>
    </xf>
    <xf borderId="2" fillId="13" fontId="16" numFmtId="0" xfId="0" applyAlignment="1" applyBorder="1" applyFont="1">
      <alignment shrinkToFit="0" wrapText="1"/>
    </xf>
    <xf borderId="1" fillId="8" fontId="1" numFmtId="165" xfId="0" applyBorder="1" applyFont="1" applyNumberFormat="1"/>
    <xf borderId="1" fillId="8" fontId="1" numFmtId="0" xfId="0" applyAlignment="1" applyBorder="1" applyFont="1">
      <alignment readingOrder="0"/>
    </xf>
    <xf borderId="1" fillId="8" fontId="1" numFmtId="0" xfId="0" applyBorder="1" applyFont="1"/>
    <xf borderId="1" fillId="20" fontId="1" numFmtId="0" xfId="0" applyAlignment="1" applyBorder="1" applyFont="1">
      <alignment shrinkToFit="0" wrapText="1"/>
    </xf>
    <xf borderId="1" fillId="23" fontId="1" numFmtId="0" xfId="0" applyAlignment="1" applyBorder="1" applyFill="1" applyFont="1">
      <alignment shrinkToFit="0" wrapText="1"/>
    </xf>
    <xf borderId="1" fillId="20" fontId="1" numFmtId="165" xfId="0" applyBorder="1" applyFont="1" applyNumberFormat="1"/>
    <xf borderId="1" fillId="20" fontId="1" numFmtId="166" xfId="0" applyBorder="1" applyFont="1" applyNumberFormat="1"/>
    <xf borderId="1" fillId="21" fontId="1" numFmtId="0" xfId="0" applyAlignment="1" applyBorder="1" applyFont="1">
      <alignment shrinkToFit="0" wrapText="1"/>
    </xf>
    <xf borderId="1" fillId="21" fontId="1" numFmtId="165" xfId="0" applyBorder="1" applyFont="1" applyNumberFormat="1"/>
    <xf borderId="1" fillId="21" fontId="1" numFmtId="0" xfId="0" applyBorder="1" applyFont="1"/>
    <xf borderId="1" fillId="19" fontId="1" numFmtId="0" xfId="0" applyAlignment="1" applyBorder="1" applyFont="1">
      <alignment shrinkToFit="0" wrapText="1"/>
    </xf>
    <xf borderId="1" fillId="22" fontId="1" numFmtId="0" xfId="0" applyAlignment="1" applyBorder="1" applyFont="1">
      <alignment shrinkToFit="0" wrapText="1"/>
    </xf>
    <xf borderId="1" fillId="20" fontId="1" numFmtId="0" xfId="0" applyAlignment="1" applyBorder="1" applyFont="1">
      <alignment readingOrder="0"/>
    </xf>
    <xf borderId="2" fillId="6" fontId="19" numFmtId="0" xfId="0" applyAlignment="1" applyBorder="1" applyFont="1">
      <alignment horizontal="center" shrinkToFit="0" wrapText="1"/>
    </xf>
    <xf borderId="5" fillId="6" fontId="19" numFmtId="0" xfId="0" applyAlignment="1" applyBorder="1" applyFont="1">
      <alignment horizontal="center" shrinkToFit="0" wrapText="1"/>
    </xf>
    <xf borderId="5" fillId="2" fontId="19" numFmtId="0" xfId="0" applyAlignment="1" applyBorder="1" applyFont="1">
      <alignment horizontal="center" shrinkToFit="0" wrapText="1"/>
    </xf>
    <xf borderId="5" fillId="9" fontId="19" numFmtId="164" xfId="0" applyAlignment="1" applyBorder="1" applyFont="1" applyNumberFormat="1">
      <alignment horizontal="center" shrinkToFit="0" wrapText="1"/>
    </xf>
    <xf borderId="5" fillId="6" fontId="19" numFmtId="165" xfId="0" applyAlignment="1" applyBorder="1" applyFont="1" applyNumberFormat="1">
      <alignment horizontal="center" shrinkToFit="0" wrapText="1"/>
    </xf>
    <xf borderId="5" fillId="24" fontId="19" numFmtId="0" xfId="0" applyAlignment="1" applyBorder="1" applyFill="1" applyFont="1">
      <alignment horizontal="center" shrinkToFit="0" wrapText="1"/>
    </xf>
    <xf borderId="6" fillId="0" fontId="20" numFmtId="0" xfId="0" applyBorder="1" applyFont="1"/>
    <xf borderId="7" fillId="0" fontId="1" numFmtId="0" xfId="0" applyAlignment="1" applyBorder="1" applyFont="1">
      <alignment horizontal="center"/>
    </xf>
    <xf borderId="3" fillId="13" fontId="1" numFmtId="0" xfId="0" applyAlignment="1" applyBorder="1" applyFont="1">
      <alignment horizontal="center"/>
    </xf>
    <xf borderId="3" fillId="6" fontId="1" numFmtId="164" xfId="0" applyBorder="1" applyFont="1" applyNumberFormat="1"/>
    <xf borderId="7" fillId="0" fontId="1" numFmtId="165" xfId="0" applyAlignment="1" applyBorder="1" applyFont="1" applyNumberFormat="1">
      <alignment horizontal="center"/>
    </xf>
    <xf borderId="3" fillId="24" fontId="1" numFmtId="164" xfId="0" applyAlignment="1" applyBorder="1" applyFont="1" applyNumberFormat="1">
      <alignment horizontal="left" shrinkToFit="0" wrapText="1"/>
    </xf>
    <xf borderId="7" fillId="0" fontId="1" numFmtId="0" xfId="0" applyAlignment="1" applyBorder="1" applyFont="1">
      <alignment horizontal="center" readingOrder="0"/>
    </xf>
    <xf borderId="7" fillId="0" fontId="1" numFmtId="164" xfId="0" applyAlignment="1" applyBorder="1" applyFont="1" applyNumberFormat="1">
      <alignment horizontal="center"/>
    </xf>
    <xf borderId="3" fillId="25" fontId="1" numFmtId="164" xfId="0" applyAlignment="1" applyBorder="1" applyFill="1" applyFont="1" applyNumberFormat="1">
      <alignment horizontal="center"/>
    </xf>
    <xf borderId="3" fillId="13" fontId="1" numFmtId="0" xfId="0" applyAlignment="1" applyBorder="1" applyFont="1">
      <alignment horizontal="left"/>
    </xf>
    <xf borderId="3" fillId="26" fontId="1" numFmtId="0" xfId="0" applyAlignment="1" applyBorder="1" applyFill="1" applyFont="1">
      <alignment horizontal="center"/>
    </xf>
    <xf borderId="3" fillId="26" fontId="1" numFmtId="164" xfId="0" applyAlignment="1" applyBorder="1" applyFont="1" applyNumberFormat="1">
      <alignment horizontal="center"/>
    </xf>
    <xf borderId="3" fillId="6" fontId="1" numFmtId="0" xfId="0" applyBorder="1" applyFont="1"/>
    <xf borderId="3" fillId="23" fontId="1" numFmtId="165" xfId="0" applyAlignment="1" applyBorder="1" applyFont="1" applyNumberFormat="1">
      <alignment horizontal="center"/>
    </xf>
    <xf borderId="3" fillId="23" fontId="1" numFmtId="0" xfId="0" applyAlignment="1" applyBorder="1" applyFont="1">
      <alignment horizontal="center"/>
    </xf>
    <xf borderId="3" fillId="24" fontId="1" numFmtId="164" xfId="0" applyAlignment="1" applyBorder="1" applyFont="1" applyNumberFormat="1">
      <alignment horizontal="left" readingOrder="0" shrinkToFit="0" wrapText="1"/>
    </xf>
    <xf borderId="0" fillId="0" fontId="1" numFmtId="0" xfId="0" applyAlignment="1" applyFont="1">
      <alignment horizontal="center" shrinkToFit="0" wrapText="1"/>
    </xf>
    <xf borderId="1" fillId="13" fontId="1" numFmtId="0" xfId="0" applyBorder="1" applyFont="1"/>
    <xf borderId="0" fillId="0" fontId="19" numFmtId="164" xfId="0" applyAlignment="1" applyFont="1" applyNumberFormat="1">
      <alignment horizontal="center" shrinkToFit="0" wrapText="1"/>
    </xf>
    <xf borderId="0" fillId="0" fontId="1" numFmtId="164" xfId="0" applyFont="1" applyNumberFormat="1"/>
    <xf borderId="0" fillId="0" fontId="1" numFmtId="0" xfId="0" applyAlignment="1" applyFont="1">
      <alignment horizontal="center"/>
    </xf>
    <xf borderId="0" fillId="0" fontId="21" numFmtId="0" xfId="0" applyFont="1"/>
    <xf borderId="0" fillId="0" fontId="22" numFmtId="168" xfId="0" applyFont="1" applyNumberFormat="1"/>
    <xf borderId="0" fillId="0" fontId="22" numFmtId="9" xfId="0" applyFont="1" applyNumberFormat="1"/>
    <xf borderId="0" fillId="0" fontId="22" numFmtId="0" xfId="0" applyFont="1"/>
    <xf borderId="8" fillId="0" fontId="5" numFmtId="0" xfId="0" applyBorder="1" applyFont="1"/>
    <xf borderId="9" fillId="0" fontId="5" numFmtId="0" xfId="0" applyBorder="1" applyFont="1"/>
    <xf borderId="10" fillId="0" fontId="5" numFmtId="0" xfId="0" applyBorder="1" applyFont="1"/>
    <xf borderId="8" fillId="0" fontId="5" numFmtId="165" xfId="0" applyBorder="1" applyFont="1" applyNumberFormat="1"/>
    <xf borderId="11" fillId="0" fontId="5" numFmtId="0" xfId="0" applyBorder="1" applyFont="1"/>
    <xf borderId="12" fillId="0" fontId="5" numFmtId="0" xfId="0" applyBorder="1" applyFont="1"/>
    <xf borderId="13" fillId="0" fontId="5" numFmtId="165" xfId="0" applyBorder="1" applyFont="1" applyNumberFormat="1"/>
    <xf borderId="13" fillId="0" fontId="5" numFmtId="0" xfId="0" applyBorder="1" applyFont="1"/>
    <xf borderId="14" fillId="0" fontId="5" numFmtId="0" xfId="0" applyBorder="1" applyFont="1"/>
    <xf borderId="15" fillId="0" fontId="5" numFmtId="165" xfId="0" applyBorder="1" applyFont="1" applyNumberFormat="1"/>
    <xf borderId="15" fillId="0" fontId="5" numFmtId="0" xfId="0" applyBorder="1" applyFont="1"/>
    <xf borderId="16" fillId="0" fontId="5" numFmtId="0" xfId="0" applyBorder="1" applyFont="1"/>
    <xf borderId="17" fillId="0" fontId="5"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43" sheet="Оплаты"/>
  </cacheSource>
  <cacheFields>
    <cacheField name="номер заказа">
      <sharedItems containsBlank="1" containsMixedTypes="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m/>
        <s v="Итог:"/>
      </sharedItems>
    </cacheField>
    <cacheField name="имя" numFmtId="0">
      <sharedItems containsBlank="1">
        <s v="Дарья"/>
        <s v="Роман"/>
        <s v="Ольга"/>
        <s v="Глеб"/>
        <s v="Валентин"/>
        <s v="Инна"/>
        <s v="Сергей"/>
        <s v="Саша"/>
        <s v="Елена"/>
        <s v="Екатерина"/>
        <s v="Яна"/>
        <s v="Наталья"/>
        <s v="Евгений"/>
        <s v="Светалана"/>
        <s v="Катя"/>
        <s v="Светлана"/>
        <s v="Валя"/>
        <s v="Таисия"/>
        <s v="Вика"/>
        <s v="Юлия"/>
        <s v="Алиса"/>
        <s v="Юля"/>
        <s v="Света"/>
        <s v="Майя"/>
        <s v="Полина"/>
        <s v="Мария"/>
        <s v="Ира"/>
        <s v="Алла"/>
        <s v="Вера"/>
        <s v="Таня"/>
        <s v="Никита"/>
        <s v="Андрей"/>
        <s v="Галя"/>
        <s v="Окснана"/>
        <s v="Эльвира"/>
        <s v="Настя"/>
        <s v="Маргарита"/>
        <s v="Надежда"/>
        <s v="Аня"/>
        <s v="Владимир"/>
        <s v="Ирина"/>
        <s v="Кристина"/>
        <s v="Виктория"/>
        <s v="Олеся"/>
        <s v="Галина"/>
        <s v="Элина"/>
        <s v="Татьяна"/>
        <s v="Оксана"/>
        <s v="Татьяна "/>
        <s v="Люба"/>
        <s v="Лена"/>
        <s v="Рита"/>
        <s v="Валерия"/>
        <s v="Марина"/>
        <s v="Гульнара"/>
        <s v="Олег"/>
        <s v="Альбина"/>
        <s v="Алена"/>
        <s v="София"/>
        <s v="Анна"/>
        <m/>
      </sharedItems>
    </cacheField>
    <cacheField name="тг / номер тел" numFmtId="0">
      <sharedItems containsString="0" containsBlank="1">
        <m/>
      </sharedItems>
    </cacheField>
    <cacheField name="Название тарифа" numFmtId="0">
      <sharedItems containsBlank="1">
        <s v="куратор"/>
        <s v="сам"/>
        <s v="вип"/>
        <s v="куратор "/>
        <s v="1 конс"/>
        <m/>
      </sharedItems>
    </cacheField>
    <cacheField name="Выручка" numFmtId="164">
      <sharedItems containsString="0" containsBlank="1" containsNumber="1" containsInteger="1">
        <n v="44990.0"/>
        <n v="34990.0"/>
        <n v="79990.0"/>
        <n v="55993.0"/>
        <n v="24493.0"/>
        <n v="71990.0"/>
        <n v="59900.0"/>
        <n v="54990.0"/>
        <n v="39990.0"/>
        <n v="54900.0"/>
        <n v="16500.0"/>
        <n v="31490.0"/>
        <n v="34900.0"/>
        <n v="79900.0"/>
        <n v="13750.0"/>
        <n v="109990.0"/>
        <n v="11700.0"/>
        <n v="5831.0"/>
        <n v="20000.0"/>
        <n v="15000.0"/>
        <m/>
        <n v="4417557.0"/>
      </sharedItems>
    </cacheField>
    <cacheField name="Чистая прибыль">
      <sharedItems containsBlank="1" containsMixedTypes="1" containsNumber="1">
        <n v="43415.35"/>
        <n v="28691.8"/>
        <n v="35992.0"/>
        <n v="65591.8"/>
        <n v="41165.0"/>
        <n v="73190.85"/>
        <n v="65191.85"/>
        <n v="47762.03"/>
        <n v="23635.75"/>
        <n v="33765.35"/>
        <n v="69111.36"/>
        <n v="69470.0"/>
        <n v="77190.55"/>
        <n v="48818.0"/>
        <n v="44816.85"/>
        <n v="52978.0"/>
        <n v="31920.0"/>
        <n v="16067.0"/>
        <n v="63992.0"/>
        <n v="30387.85"/>
        <n v="32358.0"/>
        <n v="28691.0"/>
        <n v="43992.0"/>
        <n v="28516.0"/>
        <n v="33765.0"/>
        <n v="34990.0"/>
        <n v="44816.0"/>
        <n v="46081.62"/>
        <n v="53065.35"/>
        <n v="30388.82"/>
        <s v="р.13 268,75"/>
        <n v="106140.0"/>
        <n v="31491.0"/>
        <n v="53065.0"/>
        <n v="36666.8"/>
        <n v="32015.0"/>
        <n v="11290.5"/>
        <n v="45091.0"/>
        <n v="45806.0"/>
        <n v="29846.0"/>
        <n v="30387.0"/>
        <n v="13286.0"/>
        <n v="27992.0"/>
        <n v="5626.0"/>
        <n v="19300.0"/>
        <n v="65591.0"/>
        <n v="8443.0"/>
        <n v="11290.0"/>
        <n v="14400.0"/>
        <n v="77190.0"/>
        <n v="48611.16"/>
        <m/>
        <n v="3825059.2300000004"/>
      </sharedItems>
    </cacheField>
    <cacheField name="Дебиторка" numFmtId="0">
      <sharedItems containsString="0" containsBlank="1" containsNumber="1" containsInteger="1">
        <m/>
        <n v="32134.0"/>
        <n v="41250.0"/>
        <n v="23400.0"/>
        <n v="34990.0"/>
        <n v="26547.0"/>
        <n v="23700.0"/>
        <n v="223271.0"/>
      </sharedItems>
    </cacheField>
    <cacheField name="Способ оплаты" numFmtId="0">
      <sharedItems containsBlank="1">
        <s v="сразу"/>
        <s v="рассрочка"/>
        <s v="рассчрока "/>
        <s v="рассрочка "/>
        <s v="рассрчока"/>
        <m/>
      </sharedItems>
    </cacheField>
    <cacheField name="Дата Оплаты" numFmtId="165">
      <sharedItems containsDate="1" containsString="0" containsBlank="1">
        <d v="2025-12-01T00:00:00Z"/>
        <d v="2025-12-05T00:00:00Z"/>
        <d v="2025-12-08T00:00:00Z"/>
        <d v="2025-12-09T00:00:00Z"/>
        <d v="2025-12-27T00:00:00Z"/>
        <d v="2026-01-07T00:00:00Z"/>
        <d v="2026-01-11T00:00:00Z"/>
        <d v="2026-01-16T00:00:00Z"/>
        <d v="2026-01-17T00:00:00Z"/>
        <d v="2026-01-18T00:00:00Z"/>
        <d v="2026-01-21T00:00:00Z"/>
        <d v="2026-01-22T00:00:00Z"/>
        <d v="2026-01-27T00:00:00Z"/>
        <d v="2026-01-25T00:00:00Z"/>
        <d v="2026-01-26T00:00:00Z"/>
        <d v="2026-01-29T00:00:00Z"/>
        <d v="2026-01-24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m/>
      </sharedItems>
    </cacheField>
    <cacheField name="Менеджер" numFmtId="0">
      <sharedItems containsBlank="1">
        <s v="ОП"/>
        <s v="ОП и Вася"/>
        <s v="Вася"/>
        <s v="Паша"/>
        <s v="Алина"/>
        <m/>
      </sharedItems>
    </cacheField>
    <cacheField name="График платежей" numFmtId="0">
      <sharedItems containsBlank="1">
        <m/>
        <s v="16500 сразу, дажее через мес 16500, и еще раз через мес"/>
        <s v="5к перевод Васе на карту"/>
        <s v="2800 переплата от банка - разобраться"/>
        <s v="по счету"/>
        <s v="доплата в пн"/>
        <s v="06.03 - 13 750 / 06.04 - 13 750 / 07.05 - 13 750"/>
        <s v="07.03-11700; 07.04 - 11700"/>
        <s v="при расширении до тарифа с куратором доплата до 79990"/>
        <s v="возможно запросит договор , когда Василий свяжется"/>
        <s v="ОП - Еще осенний лид по старым ценам"/>
        <s v="ЧП впишу, когда охлаждение закончится и просчитается на ГК наша прибыль"/>
        <s v="купил обучение в подарок, надо отправить письмо на почту девушке с поздравлением с днем рождения 12.02 и добавить в группу обучения."/>
        <s v="график платежей: 10.03 - 13750; 10.04 - 13750; 10.05 - 13750"/>
        <s v="11.02- 20.000/11.03 - 20.000/11.04 - 14.990"/>
        <s v="13.03-8750; 13.04-8750; 13.05-8750"/>
        <s v="14.03-11700;14.04-117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дашборд" cacheId="0" dataCaption="" compact="0" compactData="0">
  <location ref="A9:B11" firstHeaderRow="0" firstDataRow="1" firstDataCol="1"/>
  <pivotFields>
    <pivotField name="номер заказа"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имя"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тг / номер тел" compact="0" outline="0" multipleItemSelectionAllowed="1" showAll="0">
      <items>
        <item x="0"/>
        <item t="default"/>
      </items>
    </pivotField>
    <pivotField name="Название тарифа" compact="0" outline="0" multipleItemSelectionAllowed="1" showAll="0">
      <items>
        <item x="0"/>
        <item x="1"/>
        <item x="2"/>
        <item x="3"/>
        <item x="4"/>
        <item x="5"/>
        <item t="default"/>
      </items>
    </pivotField>
    <pivotField name="Выручка" compact="0" numFmtId="164"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Чистая прибыль"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Дебиторка" compact="0" outline="0" multipleItemSelectionAllowed="1" showAll="0">
      <items>
        <item x="0"/>
        <item x="1"/>
        <item x="2"/>
        <item x="3"/>
        <item x="4"/>
        <item x="5"/>
        <item x="6"/>
        <item x="7"/>
        <item t="default"/>
      </items>
    </pivotField>
    <pivotField name="Способ оплаты" compact="0" outline="0" multipleItemSelectionAllowed="1" showAll="0">
      <items>
        <item x="0"/>
        <item x="1"/>
        <item x="2"/>
        <item x="3"/>
        <item x="4"/>
        <item x="5"/>
        <item t="default"/>
      </items>
    </pivotField>
    <pivotField name="Дата Оплаты" axis="axisRow" compact="0" numFmtId="165" outline="0" multipleItemSelectionAllowed="1" showAll="0" sortType="ascending">
      <items>
        <item h="1" x="33"/>
        <item h="1" x="0"/>
        <item h="1" x="1"/>
        <item h="1" x="2"/>
        <item h="1" x="3"/>
        <item h="1" x="4"/>
        <item h="1" x="5"/>
        <item h="1" x="6"/>
        <item h="1" x="7"/>
        <item h="1" x="8"/>
        <item h="1" x="9"/>
        <item h="1" x="10"/>
        <item h="1" x="11"/>
        <item h="1" x="16"/>
        <item h="1" x="13"/>
        <item h="1" x="14"/>
        <item h="1" x="12"/>
        <item h="1" x="15"/>
        <item h="1" x="17"/>
        <item h="1" x="18"/>
        <item h="1" x="19"/>
        <item h="1" x="20"/>
        <item h="1" x="21"/>
        <item h="1" x="22"/>
        <item h="1" x="23"/>
        <item h="1" x="24"/>
        <item h="1" x="25"/>
        <item h="1" x="26"/>
        <item h="1" x="27"/>
        <item h="1" x="28"/>
        <item h="1" x="29"/>
        <item h="1" x="30"/>
        <item h="1" x="31"/>
        <item h="1" x="32"/>
        <item t="default"/>
      </items>
    </pivotField>
    <pivotField name=" " axis="axisCol" compact="0" outline="0" multipleItemSelectionAllowed="1" showAll="0" sortType="ascending">
      <items>
        <item x="5"/>
        <item x="4"/>
        <item x="2"/>
        <item x="0"/>
        <item x="1"/>
        <item x="3"/>
        <item t="default"/>
      </items>
    </pivotField>
    <pivotField name="График платежей" compact="0" outline="0" multipleItemSelectionAllowed="1" showAll="0">
      <items>
        <item x="0"/>
        <item x="1"/>
        <item x="2"/>
        <item x="3"/>
        <item x="4"/>
        <item x="5"/>
        <item x="6"/>
        <item x="7"/>
        <item x="8"/>
        <item x="9"/>
        <item x="10"/>
        <item x="11"/>
        <item x="12"/>
        <item x="13"/>
        <item x="14"/>
        <item x="15"/>
        <item x="16"/>
        <item t="default"/>
      </items>
    </pivotField>
  </pivotFields>
  <rowFields>
    <field x="8"/>
  </rowFields>
  <colFields>
    <field x="9"/>
  </colFields>
  <dataFields>
    <dataField name="  " fld="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1.13"/>
    <col customWidth="1" min="3" max="3" width="16.88"/>
    <col customWidth="1" min="4" max="4" width="19.88"/>
    <col customWidth="1" min="5" max="5" width="20.25"/>
    <col customWidth="1" min="6" max="6" width="60.13"/>
    <col customWidth="1" min="7" max="7" width="66.88"/>
    <col customWidth="1" min="8" max="8" width="17.5"/>
    <col customWidth="1" min="9" max="10" width="9.75"/>
    <col customWidth="1" min="11" max="25" width="11.13"/>
  </cols>
  <sheetData>
    <row r="1" ht="15.75" customHeight="1">
      <c r="A1" s="1" t="s">
        <v>0</v>
      </c>
      <c r="B1" s="1" t="s">
        <v>1</v>
      </c>
      <c r="C1" s="1" t="s">
        <v>2</v>
      </c>
      <c r="D1" s="1" t="s">
        <v>3</v>
      </c>
      <c r="E1" s="1" t="s">
        <v>4</v>
      </c>
      <c r="F1" s="2" t="s">
        <v>5</v>
      </c>
      <c r="G1" s="2" t="s">
        <v>6</v>
      </c>
      <c r="H1" s="3" t="s">
        <v>7</v>
      </c>
      <c r="I1" s="3" t="s">
        <v>8</v>
      </c>
      <c r="J1" s="3" t="s">
        <v>9</v>
      </c>
      <c r="K1" s="4" t="s">
        <v>10</v>
      </c>
      <c r="L1" s="4" t="s">
        <v>11</v>
      </c>
    </row>
    <row r="2" ht="15.75" customHeight="1">
      <c r="A2" s="5">
        <v>46044.0</v>
      </c>
      <c r="B2" s="6"/>
      <c r="C2" s="6"/>
      <c r="D2" s="1" t="s">
        <v>12</v>
      </c>
      <c r="E2" s="1"/>
      <c r="F2" s="2" t="s">
        <v>13</v>
      </c>
      <c r="G2" s="7" t="s">
        <v>14</v>
      </c>
      <c r="H2" s="8" t="s">
        <v>15</v>
      </c>
      <c r="I2" s="9">
        <v>59900.0</v>
      </c>
      <c r="J2" s="9">
        <v>48818.0</v>
      </c>
    </row>
    <row r="3" ht="15.75" customHeight="1">
      <c r="A3" s="5">
        <v>46044.0</v>
      </c>
      <c r="B3" s="1"/>
      <c r="C3" s="6"/>
      <c r="D3" s="1" t="s">
        <v>16</v>
      </c>
      <c r="E3" s="1"/>
      <c r="F3" s="2" t="s">
        <v>17</v>
      </c>
      <c r="G3" s="10" t="s">
        <v>18</v>
      </c>
      <c r="H3" s="8"/>
      <c r="I3" s="9"/>
      <c r="J3" s="9"/>
    </row>
    <row r="4" ht="15.75" customHeight="1">
      <c r="A4" s="5">
        <v>46044.0</v>
      </c>
      <c r="B4" s="1"/>
      <c r="C4" s="1"/>
      <c r="D4" s="1" t="s">
        <v>19</v>
      </c>
      <c r="E4" s="11"/>
      <c r="F4" s="12" t="s">
        <v>20</v>
      </c>
      <c r="G4" s="13" t="s">
        <v>21</v>
      </c>
      <c r="H4" s="8"/>
      <c r="I4" s="9"/>
      <c r="J4" s="9"/>
    </row>
    <row r="5" ht="15.75" customHeight="1">
      <c r="A5" s="5">
        <v>46044.0</v>
      </c>
      <c r="B5" s="1"/>
      <c r="C5" s="1"/>
      <c r="D5" s="1" t="s">
        <v>22</v>
      </c>
      <c r="E5" s="11"/>
      <c r="F5" s="12" t="s">
        <v>23</v>
      </c>
      <c r="G5" s="13" t="s">
        <v>24</v>
      </c>
      <c r="H5" s="8"/>
      <c r="I5" s="9"/>
      <c r="J5" s="9"/>
      <c r="L5" s="1" t="s">
        <v>25</v>
      </c>
    </row>
    <row r="6" ht="15.75" customHeight="1">
      <c r="A6" s="5">
        <v>46044.0</v>
      </c>
      <c r="B6" s="6"/>
      <c r="C6" s="1"/>
      <c r="D6" s="6" t="s">
        <v>26</v>
      </c>
      <c r="E6" s="11"/>
      <c r="F6" s="12" t="s">
        <v>27</v>
      </c>
      <c r="G6" s="13" t="s">
        <v>28</v>
      </c>
      <c r="H6" s="8"/>
      <c r="I6" s="9"/>
      <c r="J6" s="9"/>
    </row>
    <row r="7" ht="15.75" customHeight="1">
      <c r="A7" s="5">
        <v>46044.0</v>
      </c>
      <c r="B7" s="6"/>
      <c r="C7" s="1"/>
      <c r="D7" s="1" t="s">
        <v>29</v>
      </c>
      <c r="E7" s="1"/>
      <c r="F7" s="2" t="s">
        <v>30</v>
      </c>
      <c r="G7" s="13" t="s">
        <v>31</v>
      </c>
      <c r="H7" s="8"/>
      <c r="I7" s="9"/>
      <c r="J7" s="9"/>
    </row>
    <row r="8" ht="15.75" customHeight="1">
      <c r="A8" s="5">
        <v>46044.0</v>
      </c>
      <c r="B8" s="6"/>
      <c r="C8" s="1"/>
      <c r="D8" s="1" t="s">
        <v>32</v>
      </c>
      <c r="E8" s="1"/>
      <c r="F8" s="2" t="s">
        <v>33</v>
      </c>
      <c r="G8" s="13" t="s">
        <v>34</v>
      </c>
      <c r="H8" s="8"/>
      <c r="I8" s="9"/>
      <c r="J8" s="9"/>
    </row>
    <row r="9" ht="15.75" customHeight="1">
      <c r="A9" s="5">
        <v>46044.0</v>
      </c>
      <c r="C9" s="1"/>
      <c r="D9" s="14" t="s">
        <v>35</v>
      </c>
      <c r="E9" s="1"/>
      <c r="F9" s="2" t="s">
        <v>36</v>
      </c>
      <c r="G9" s="7" t="s">
        <v>14</v>
      </c>
      <c r="H9" s="8" t="s">
        <v>37</v>
      </c>
      <c r="I9" s="9">
        <v>34990.0</v>
      </c>
      <c r="J9" s="9">
        <v>28691.8</v>
      </c>
      <c r="K9" s="1" t="s">
        <v>38</v>
      </c>
    </row>
    <row r="10" ht="15.75" customHeight="1">
      <c r="A10" s="5">
        <v>46044.0</v>
      </c>
      <c r="B10" s="6"/>
      <c r="C10" s="6"/>
      <c r="D10" s="14" t="s">
        <v>39</v>
      </c>
      <c r="E10" s="1"/>
      <c r="F10" s="2" t="s">
        <v>40</v>
      </c>
      <c r="G10" s="7" t="s">
        <v>14</v>
      </c>
      <c r="H10" s="8" t="s">
        <v>15</v>
      </c>
      <c r="I10" s="9">
        <v>54990.0</v>
      </c>
      <c r="J10" s="9">
        <v>44816.85</v>
      </c>
      <c r="K10" s="1" t="s">
        <v>38</v>
      </c>
    </row>
    <row r="11" ht="15.75" customHeight="1">
      <c r="A11" s="5">
        <v>46045.0</v>
      </c>
      <c r="B11" s="1"/>
      <c r="C11" s="6"/>
      <c r="D11" s="1" t="s">
        <v>41</v>
      </c>
      <c r="E11" s="1"/>
      <c r="F11" s="2" t="s">
        <v>42</v>
      </c>
      <c r="G11" s="7" t="s">
        <v>14</v>
      </c>
      <c r="H11" s="8" t="s">
        <v>15</v>
      </c>
      <c r="I11" s="9">
        <v>54990.0</v>
      </c>
      <c r="J11" s="9">
        <v>52978.0</v>
      </c>
    </row>
    <row r="12" ht="15.75" customHeight="1">
      <c r="A12" s="5">
        <v>46045.0</v>
      </c>
      <c r="B12" s="1"/>
      <c r="C12" s="6"/>
      <c r="D12" s="1" t="s">
        <v>43</v>
      </c>
      <c r="E12" s="1"/>
      <c r="F12" s="2" t="s">
        <v>44</v>
      </c>
      <c r="G12" s="15" t="s">
        <v>45</v>
      </c>
      <c r="H12" s="8"/>
      <c r="I12" s="9"/>
      <c r="J12" s="9"/>
    </row>
    <row r="13" ht="15.75" customHeight="1">
      <c r="A13" s="5">
        <v>46045.0</v>
      </c>
      <c r="B13" s="1"/>
      <c r="C13" s="6"/>
      <c r="D13" s="1" t="s">
        <v>46</v>
      </c>
      <c r="F13" s="2"/>
      <c r="G13" s="7" t="s">
        <v>14</v>
      </c>
      <c r="H13" s="8" t="s">
        <v>15</v>
      </c>
      <c r="I13" s="9">
        <v>44990.0</v>
      </c>
      <c r="J13" s="9">
        <v>43415.35</v>
      </c>
      <c r="K13" s="1" t="s">
        <v>47</v>
      </c>
    </row>
    <row r="14" ht="15.75" customHeight="1">
      <c r="A14" s="5">
        <v>46045.0</v>
      </c>
      <c r="B14" s="1"/>
      <c r="C14" s="6"/>
      <c r="D14" s="1" t="s">
        <v>48</v>
      </c>
      <c r="E14" s="1"/>
      <c r="F14" s="2" t="s">
        <v>49</v>
      </c>
      <c r="G14" s="13" t="s">
        <v>50</v>
      </c>
      <c r="H14" s="8"/>
      <c r="I14" s="9"/>
      <c r="J14" s="9"/>
    </row>
    <row r="15" ht="15.75" customHeight="1">
      <c r="A15" s="5">
        <v>46045.0</v>
      </c>
      <c r="B15" s="6"/>
      <c r="C15" s="11"/>
      <c r="D15" s="1" t="s">
        <v>16</v>
      </c>
      <c r="E15" s="1"/>
      <c r="F15" s="2" t="s">
        <v>51</v>
      </c>
      <c r="G15" s="16" t="s">
        <v>52</v>
      </c>
      <c r="H15" s="8" t="s">
        <v>15</v>
      </c>
      <c r="I15" s="9">
        <v>54990.0</v>
      </c>
      <c r="J15" s="9">
        <v>43992.0</v>
      </c>
    </row>
    <row r="16" ht="15.75" customHeight="1">
      <c r="B16" s="1"/>
      <c r="C16" s="1"/>
      <c r="D16" s="1" t="s">
        <v>53</v>
      </c>
      <c r="E16" s="1"/>
      <c r="F16" s="2" t="s">
        <v>54</v>
      </c>
      <c r="G16" s="13" t="s">
        <v>55</v>
      </c>
      <c r="H16" s="8"/>
      <c r="I16" s="9"/>
      <c r="J16" s="9"/>
    </row>
    <row r="17" ht="15.75" customHeight="1">
      <c r="A17" s="5">
        <v>46046.0</v>
      </c>
      <c r="B17" s="6"/>
      <c r="D17" s="1" t="s">
        <v>56</v>
      </c>
      <c r="E17" s="11"/>
      <c r="F17" s="12" t="s">
        <v>57</v>
      </c>
      <c r="G17" s="13" t="s">
        <v>58</v>
      </c>
      <c r="H17" s="8"/>
      <c r="I17" s="9"/>
      <c r="J17" s="9"/>
    </row>
    <row r="18" ht="15.75" customHeight="1">
      <c r="A18" s="5">
        <v>46046.0</v>
      </c>
      <c r="B18" s="6"/>
      <c r="C18" s="6"/>
      <c r="D18" s="1" t="s">
        <v>59</v>
      </c>
      <c r="E18" s="1"/>
      <c r="F18" s="2" t="s">
        <v>60</v>
      </c>
      <c r="G18" s="13" t="s">
        <v>61</v>
      </c>
      <c r="H18" s="8"/>
      <c r="I18" s="9"/>
      <c r="J18" s="9"/>
    </row>
    <row r="19" ht="15.75" customHeight="1">
      <c r="A19" s="5">
        <v>46046.0</v>
      </c>
      <c r="B19" s="6"/>
      <c r="C19" s="1"/>
      <c r="D19" s="1" t="s">
        <v>62</v>
      </c>
      <c r="E19" s="1"/>
      <c r="F19" s="2" t="s">
        <v>63</v>
      </c>
      <c r="G19" s="17" t="s">
        <v>64</v>
      </c>
      <c r="H19" s="8"/>
      <c r="I19" s="9"/>
      <c r="J19" s="9"/>
    </row>
    <row r="20" ht="15.75" customHeight="1">
      <c r="A20" s="5">
        <v>46046.0</v>
      </c>
      <c r="B20" s="1"/>
      <c r="C20" s="1"/>
      <c r="D20" s="11" t="s">
        <v>65</v>
      </c>
      <c r="E20" s="1"/>
      <c r="F20" s="2" t="s">
        <v>66</v>
      </c>
      <c r="G20" s="13" t="s">
        <v>67</v>
      </c>
      <c r="H20" s="8"/>
      <c r="I20" s="9"/>
      <c r="J20" s="9"/>
    </row>
    <row r="21" ht="15.75" customHeight="1">
      <c r="A21" s="5">
        <v>46047.0</v>
      </c>
      <c r="B21" s="1"/>
      <c r="C21" s="1"/>
      <c r="D21" s="1" t="s">
        <v>68</v>
      </c>
      <c r="E21" s="1"/>
      <c r="F21" s="2" t="s">
        <v>69</v>
      </c>
      <c r="G21" s="13" t="s">
        <v>70</v>
      </c>
      <c r="H21" s="8"/>
      <c r="I21" s="9"/>
      <c r="J21" s="9"/>
    </row>
    <row r="22" ht="15.75" customHeight="1">
      <c r="A22" s="5">
        <v>46047.0</v>
      </c>
      <c r="B22" s="1"/>
      <c r="C22" s="1"/>
      <c r="D22" s="1" t="s">
        <v>71</v>
      </c>
      <c r="E22" s="1"/>
      <c r="F22" s="2" t="s">
        <v>72</v>
      </c>
      <c r="G22" s="17" t="s">
        <v>73</v>
      </c>
      <c r="H22" s="8"/>
      <c r="I22" s="9"/>
      <c r="J22" s="9"/>
    </row>
    <row r="23" ht="15.75" customHeight="1">
      <c r="A23" s="5">
        <v>46048.0</v>
      </c>
      <c r="B23" s="1"/>
      <c r="C23" s="1"/>
      <c r="D23" s="1" t="s">
        <v>29</v>
      </c>
      <c r="E23" s="1"/>
      <c r="F23" s="2" t="s">
        <v>74</v>
      </c>
      <c r="G23" s="13" t="s">
        <v>75</v>
      </c>
      <c r="H23" s="8"/>
      <c r="I23" s="9"/>
      <c r="J23" s="9"/>
    </row>
    <row r="24" ht="15.75" customHeight="1">
      <c r="A24" s="5">
        <v>46048.0</v>
      </c>
      <c r="B24" s="1"/>
      <c r="C24" s="11"/>
      <c r="D24" s="1" t="s">
        <v>76</v>
      </c>
      <c r="E24" s="1"/>
      <c r="F24" s="2" t="s">
        <v>77</v>
      </c>
      <c r="G24" s="7" t="s">
        <v>14</v>
      </c>
      <c r="H24" s="8" t="s">
        <v>37</v>
      </c>
      <c r="I24" s="9">
        <v>39990.0</v>
      </c>
      <c r="J24" s="9">
        <v>31920.0</v>
      </c>
    </row>
    <row r="25" ht="15.75" customHeight="1">
      <c r="A25" s="5">
        <v>46048.0</v>
      </c>
      <c r="B25" s="18"/>
      <c r="C25" s="18"/>
      <c r="D25" s="1" t="s">
        <v>78</v>
      </c>
      <c r="E25" s="11"/>
      <c r="F25" s="12" t="s">
        <v>79</v>
      </c>
      <c r="G25" s="13" t="s">
        <v>80</v>
      </c>
      <c r="H25" s="8"/>
      <c r="I25" s="9"/>
      <c r="J25" s="9"/>
    </row>
    <row r="26" ht="15.75" customHeight="1">
      <c r="A26" s="5">
        <v>46048.0</v>
      </c>
      <c r="B26" s="18"/>
      <c r="C26" s="18"/>
      <c r="D26" s="1" t="s">
        <v>81</v>
      </c>
      <c r="E26" s="11"/>
      <c r="F26" s="12" t="s">
        <v>82</v>
      </c>
      <c r="G26" s="13" t="s">
        <v>83</v>
      </c>
      <c r="H26" s="8"/>
      <c r="I26" s="9"/>
      <c r="J26" s="9"/>
    </row>
    <row r="27" ht="15.75" customHeight="1">
      <c r="A27" s="5">
        <v>46048.0</v>
      </c>
      <c r="B27" s="18"/>
      <c r="C27" s="18"/>
      <c r="D27" s="1" t="s">
        <v>84</v>
      </c>
      <c r="E27" s="11"/>
      <c r="F27" s="12" t="s">
        <v>85</v>
      </c>
      <c r="G27" s="19" t="s">
        <v>86</v>
      </c>
      <c r="H27" s="8"/>
      <c r="I27" s="9"/>
      <c r="J27" s="9"/>
    </row>
    <row r="28" ht="15.75" customHeight="1">
      <c r="A28" s="5">
        <v>46049.0</v>
      </c>
      <c r="B28" s="6"/>
      <c r="C28" s="6"/>
      <c r="D28" s="6" t="s">
        <v>87</v>
      </c>
      <c r="E28" s="11"/>
      <c r="F28" s="12" t="s">
        <v>88</v>
      </c>
      <c r="G28" s="13" t="s">
        <v>89</v>
      </c>
      <c r="H28" s="8"/>
      <c r="I28" s="9"/>
      <c r="J28" s="9"/>
    </row>
    <row r="29" ht="15.75" customHeight="1">
      <c r="A29" s="5">
        <v>46049.0</v>
      </c>
      <c r="B29" s="6"/>
      <c r="C29" s="6"/>
      <c r="D29" s="1" t="s">
        <v>90</v>
      </c>
      <c r="E29" s="11"/>
      <c r="F29" s="12" t="s">
        <v>91</v>
      </c>
      <c r="G29" s="10" t="s">
        <v>52</v>
      </c>
      <c r="H29" s="8" t="s">
        <v>15</v>
      </c>
      <c r="I29" s="9">
        <v>54900.0</v>
      </c>
      <c r="J29" s="9">
        <v>52978.0</v>
      </c>
    </row>
    <row r="30" ht="15.75" customHeight="1">
      <c r="A30" s="5">
        <v>46051.0</v>
      </c>
      <c r="B30" s="6"/>
      <c r="C30" s="6"/>
      <c r="D30" s="1" t="s">
        <v>92</v>
      </c>
      <c r="E30" s="11"/>
      <c r="F30" s="12" t="s">
        <v>93</v>
      </c>
      <c r="G30" s="13" t="s">
        <v>94</v>
      </c>
      <c r="H30" s="8"/>
      <c r="I30" s="9"/>
      <c r="J30" s="9"/>
    </row>
    <row r="31" ht="15.75" customHeight="1">
      <c r="B31" s="6"/>
      <c r="C31" s="6"/>
      <c r="D31" s="11" t="s">
        <v>95</v>
      </c>
      <c r="E31" s="11"/>
      <c r="F31" s="12" t="s">
        <v>96</v>
      </c>
      <c r="G31" s="19" t="s">
        <v>97</v>
      </c>
      <c r="H31" s="8"/>
      <c r="I31" s="9"/>
      <c r="J31" s="9"/>
    </row>
    <row r="32" ht="15.75" customHeight="1">
      <c r="A32" s="20">
        <v>46326.0</v>
      </c>
      <c r="B32" s="6"/>
      <c r="C32" s="6"/>
      <c r="D32" s="1" t="s">
        <v>98</v>
      </c>
      <c r="E32" s="1"/>
      <c r="F32" s="2" t="s">
        <v>99</v>
      </c>
      <c r="G32" s="10" t="s">
        <v>52</v>
      </c>
      <c r="H32" s="8"/>
      <c r="I32" s="21">
        <v>34990.0</v>
      </c>
      <c r="J32" s="22">
        <v>30388.82</v>
      </c>
    </row>
    <row r="33" ht="15.75" customHeight="1">
      <c r="A33" s="5">
        <v>46054.0</v>
      </c>
      <c r="B33" s="6"/>
      <c r="C33" s="1"/>
      <c r="D33" s="1" t="s">
        <v>100</v>
      </c>
      <c r="E33" s="11"/>
      <c r="F33" s="12" t="s">
        <v>101</v>
      </c>
      <c r="G33" s="10" t="s">
        <v>52</v>
      </c>
      <c r="H33" s="8"/>
      <c r="I33" s="9">
        <v>34990.0</v>
      </c>
      <c r="J33" s="9">
        <v>33765.0</v>
      </c>
    </row>
    <row r="34" ht="15.75" customHeight="1">
      <c r="A34" s="5">
        <v>46054.0</v>
      </c>
      <c r="B34" s="6"/>
      <c r="C34" s="23"/>
      <c r="D34" s="1" t="s">
        <v>102</v>
      </c>
      <c r="E34" s="11"/>
      <c r="F34" s="12" t="s">
        <v>103</v>
      </c>
      <c r="G34" s="13" t="s">
        <v>104</v>
      </c>
      <c r="H34" s="8"/>
      <c r="I34" s="9"/>
      <c r="J34" s="9"/>
    </row>
    <row r="35" ht="15.75" customHeight="1">
      <c r="A35" s="5">
        <v>46054.0</v>
      </c>
      <c r="B35" s="6"/>
      <c r="C35" s="6"/>
      <c r="D35" s="1" t="s">
        <v>105</v>
      </c>
      <c r="E35" s="11"/>
      <c r="F35" s="12" t="s">
        <v>106</v>
      </c>
      <c r="G35" s="10" t="s">
        <v>107</v>
      </c>
      <c r="H35" s="8" t="s">
        <v>15</v>
      </c>
      <c r="I35" s="9">
        <v>16500.0</v>
      </c>
      <c r="J35" s="9">
        <v>16067.0</v>
      </c>
    </row>
    <row r="36" ht="15.75" customHeight="1">
      <c r="A36" s="5">
        <v>46054.0</v>
      </c>
      <c r="B36" s="6"/>
      <c r="C36" s="6"/>
      <c r="D36" s="1" t="s">
        <v>95</v>
      </c>
      <c r="E36" s="11"/>
      <c r="F36" s="12" t="s">
        <v>108</v>
      </c>
      <c r="G36" s="10" t="s">
        <v>52</v>
      </c>
      <c r="H36" s="8" t="s">
        <v>109</v>
      </c>
      <c r="I36" s="9">
        <v>79990.0</v>
      </c>
      <c r="J36" s="22">
        <v>63992.0</v>
      </c>
    </row>
    <row r="37" ht="15.75" customHeight="1">
      <c r="B37" s="6"/>
      <c r="C37" s="11"/>
      <c r="D37" s="1" t="s">
        <v>110</v>
      </c>
      <c r="E37" s="11"/>
      <c r="F37" s="12" t="s">
        <v>111</v>
      </c>
      <c r="G37" s="10" t="s">
        <v>112</v>
      </c>
      <c r="H37" s="8"/>
      <c r="I37" s="9">
        <v>34990.0</v>
      </c>
      <c r="J37" s="9">
        <v>29846.0</v>
      </c>
    </row>
    <row r="38" ht="15.75" customHeight="1">
      <c r="B38" s="6"/>
      <c r="C38" s="6"/>
      <c r="D38" s="1" t="s">
        <v>113</v>
      </c>
      <c r="E38" s="11"/>
      <c r="F38" s="12" t="s">
        <v>114</v>
      </c>
      <c r="G38" s="10" t="s">
        <v>52</v>
      </c>
      <c r="H38" s="8"/>
      <c r="I38" s="9">
        <v>34900.0</v>
      </c>
      <c r="J38" s="9">
        <v>28691.0</v>
      </c>
    </row>
    <row r="39" ht="15.75" customHeight="1">
      <c r="B39" s="6"/>
      <c r="C39" s="11"/>
      <c r="D39" s="1" t="s">
        <v>115</v>
      </c>
      <c r="E39" s="11"/>
      <c r="F39" s="12" t="s">
        <v>116</v>
      </c>
      <c r="G39" s="13" t="s">
        <v>117</v>
      </c>
      <c r="H39" s="8"/>
      <c r="I39" s="9"/>
      <c r="J39" s="9"/>
    </row>
    <row r="40" ht="15.75" customHeight="1">
      <c r="B40" s="11"/>
      <c r="C40" s="6"/>
      <c r="D40" s="1" t="s">
        <v>118</v>
      </c>
      <c r="E40" s="11"/>
      <c r="F40" s="12" t="s">
        <v>119</v>
      </c>
      <c r="G40" s="24" t="s">
        <v>120</v>
      </c>
      <c r="H40" s="8"/>
      <c r="I40" s="9"/>
      <c r="J40" s="9"/>
    </row>
    <row r="41" ht="15.75" customHeight="1">
      <c r="A41" s="25" t="s">
        <v>121</v>
      </c>
      <c r="B41" s="25"/>
      <c r="C41" s="25"/>
      <c r="D41" s="25"/>
      <c r="E41" s="25"/>
      <c r="F41" s="26"/>
      <c r="G41" s="27"/>
      <c r="H41" s="8"/>
      <c r="I41" s="9"/>
      <c r="J41" s="9"/>
    </row>
    <row r="42" ht="15.75" customHeight="1">
      <c r="A42" s="28">
        <v>46056.0</v>
      </c>
      <c r="B42" s="1"/>
      <c r="C42" s="1"/>
      <c r="D42" s="1" t="s">
        <v>19</v>
      </c>
      <c r="E42" s="1" t="s">
        <v>122</v>
      </c>
      <c r="F42" s="2" t="s">
        <v>123</v>
      </c>
      <c r="G42" s="10" t="s">
        <v>52</v>
      </c>
      <c r="H42" s="8" t="s">
        <v>124</v>
      </c>
      <c r="I42" s="9">
        <v>79900.0</v>
      </c>
      <c r="J42" s="9">
        <v>63992.0</v>
      </c>
    </row>
    <row r="43" ht="15.75" customHeight="1">
      <c r="A43" s="28">
        <v>46056.0</v>
      </c>
      <c r="B43" s="1"/>
      <c r="C43" s="1"/>
      <c r="D43" s="1" t="s">
        <v>125</v>
      </c>
      <c r="E43" s="1" t="s">
        <v>126</v>
      </c>
      <c r="F43" s="2" t="s">
        <v>127</v>
      </c>
      <c r="G43" s="29" t="s">
        <v>128</v>
      </c>
      <c r="H43" s="8"/>
      <c r="I43" s="9"/>
      <c r="J43" s="9"/>
      <c r="L43" s="1" t="s">
        <v>129</v>
      </c>
    </row>
    <row r="44" ht="15.75" customHeight="1">
      <c r="A44" s="28">
        <v>46056.0</v>
      </c>
      <c r="B44" s="1"/>
      <c r="C44" s="1"/>
      <c r="D44" s="1" t="s">
        <v>26</v>
      </c>
      <c r="E44" s="1" t="s">
        <v>130</v>
      </c>
      <c r="F44" s="2" t="s">
        <v>131</v>
      </c>
      <c r="G44" s="29" t="s">
        <v>132</v>
      </c>
      <c r="H44" s="8"/>
      <c r="I44" s="9"/>
      <c r="J44" s="9"/>
      <c r="L44" s="1" t="s">
        <v>129</v>
      </c>
    </row>
    <row r="45" ht="15.75" customHeight="1">
      <c r="A45" s="28">
        <v>46056.0</v>
      </c>
      <c r="B45" s="30"/>
      <c r="C45" s="1"/>
      <c r="D45" s="1" t="s">
        <v>90</v>
      </c>
      <c r="E45" s="1" t="s">
        <v>133</v>
      </c>
      <c r="F45" s="2" t="s">
        <v>134</v>
      </c>
      <c r="G45" s="10" t="s">
        <v>52</v>
      </c>
      <c r="H45" s="8"/>
      <c r="I45" s="9">
        <v>54900.0</v>
      </c>
      <c r="J45" s="9">
        <v>52978.0</v>
      </c>
    </row>
    <row r="46" ht="15.75" customHeight="1">
      <c r="A46" s="28">
        <v>46056.0</v>
      </c>
      <c r="B46" s="1"/>
      <c r="C46" s="1"/>
      <c r="D46" s="14" t="s">
        <v>135</v>
      </c>
      <c r="E46" s="1" t="s">
        <v>126</v>
      </c>
      <c r="F46" s="2" t="s">
        <v>136</v>
      </c>
      <c r="G46" s="10" t="s">
        <v>52</v>
      </c>
      <c r="H46" s="8"/>
      <c r="I46" s="9">
        <v>34900.0</v>
      </c>
      <c r="J46" s="9">
        <v>28691.0</v>
      </c>
    </row>
    <row r="47" ht="15.75" customHeight="1">
      <c r="A47" s="28">
        <v>46056.0</v>
      </c>
      <c r="B47" s="1"/>
      <c r="C47" s="1"/>
      <c r="D47" s="14" t="s">
        <v>137</v>
      </c>
      <c r="E47" s="1" t="s">
        <v>126</v>
      </c>
      <c r="F47" s="2" t="s">
        <v>138</v>
      </c>
      <c r="G47" s="10" t="s">
        <v>52</v>
      </c>
      <c r="H47" s="8" t="s">
        <v>37</v>
      </c>
      <c r="I47" s="9">
        <v>34900.0</v>
      </c>
      <c r="J47" s="9">
        <v>33765.0</v>
      </c>
    </row>
    <row r="48" ht="15.75" customHeight="1">
      <c r="A48" s="28">
        <v>46056.0</v>
      </c>
      <c r="B48" s="1"/>
      <c r="C48" s="1"/>
      <c r="D48" s="1" t="s">
        <v>26</v>
      </c>
      <c r="E48" s="1" t="s">
        <v>126</v>
      </c>
      <c r="F48" s="2" t="s">
        <v>139</v>
      </c>
      <c r="G48" s="17" t="s">
        <v>140</v>
      </c>
      <c r="H48" s="8"/>
      <c r="I48" s="9"/>
      <c r="J48" s="9"/>
    </row>
    <row r="49" ht="15.75" customHeight="1">
      <c r="A49" s="28">
        <v>46056.0</v>
      </c>
      <c r="B49" s="1"/>
      <c r="C49" s="1"/>
      <c r="D49" s="1" t="s">
        <v>84</v>
      </c>
      <c r="E49" s="1" t="s">
        <v>130</v>
      </c>
      <c r="F49" s="2" t="s">
        <v>141</v>
      </c>
      <c r="G49" s="10" t="s">
        <v>52</v>
      </c>
      <c r="H49" s="8"/>
      <c r="I49" s="9"/>
      <c r="J49" s="9"/>
    </row>
    <row r="50" ht="15.75" customHeight="1">
      <c r="A50" s="28">
        <v>46056.0</v>
      </c>
      <c r="B50" s="1"/>
      <c r="C50" s="11"/>
      <c r="D50" s="1" t="s">
        <v>71</v>
      </c>
      <c r="E50" s="1" t="s">
        <v>130</v>
      </c>
      <c r="F50" s="2" t="s">
        <v>142</v>
      </c>
      <c r="G50" s="16" t="s">
        <v>52</v>
      </c>
      <c r="H50" s="8" t="s">
        <v>37</v>
      </c>
      <c r="I50" s="9">
        <v>34900.0</v>
      </c>
      <c r="J50" s="9">
        <v>28516.0</v>
      </c>
    </row>
    <row r="51" ht="15.75" customHeight="1">
      <c r="A51" s="28">
        <v>46056.0</v>
      </c>
      <c r="B51" s="1"/>
      <c r="C51" s="1"/>
      <c r="D51" s="14" t="s">
        <v>43</v>
      </c>
      <c r="E51" s="1" t="s">
        <v>126</v>
      </c>
      <c r="F51" s="2" t="s">
        <v>143</v>
      </c>
      <c r="G51" s="15" t="s">
        <v>144</v>
      </c>
      <c r="H51" s="8"/>
      <c r="I51" s="9"/>
      <c r="J51" s="9"/>
    </row>
    <row r="52" ht="15.75" customHeight="1">
      <c r="A52" s="28">
        <v>46056.0</v>
      </c>
      <c r="B52" s="1"/>
      <c r="C52" s="1"/>
      <c r="D52" s="1" t="s">
        <v>145</v>
      </c>
      <c r="E52" s="1" t="s">
        <v>126</v>
      </c>
      <c r="F52" s="2" t="s">
        <v>146</v>
      </c>
      <c r="G52" s="16" t="s">
        <v>147</v>
      </c>
      <c r="H52" s="8"/>
      <c r="I52" s="21">
        <v>34990.0</v>
      </c>
      <c r="J52" s="22">
        <v>33765.0</v>
      </c>
    </row>
    <row r="53" ht="15.75" customHeight="1">
      <c r="A53" s="28">
        <v>46057.0</v>
      </c>
      <c r="B53" s="31"/>
      <c r="C53" s="1"/>
      <c r="D53" s="1" t="s">
        <v>148</v>
      </c>
      <c r="E53" s="1" t="s">
        <v>149</v>
      </c>
      <c r="F53" s="2" t="s">
        <v>150</v>
      </c>
      <c r="G53" s="13" t="s">
        <v>151</v>
      </c>
      <c r="H53" s="8"/>
      <c r="I53" s="9"/>
      <c r="J53" s="9"/>
      <c r="L53" s="1" t="s">
        <v>152</v>
      </c>
    </row>
    <row r="54" ht="15.75" customHeight="1">
      <c r="B54" s="6"/>
      <c r="C54" s="6"/>
      <c r="D54" s="1" t="s">
        <v>81</v>
      </c>
      <c r="F54" s="12" t="s">
        <v>153</v>
      </c>
      <c r="G54" s="13" t="s">
        <v>154</v>
      </c>
      <c r="H54" s="8"/>
      <c r="I54" s="9"/>
      <c r="J54" s="9"/>
      <c r="L54" s="1" t="s">
        <v>155</v>
      </c>
    </row>
    <row r="55" ht="15.75" customHeight="1">
      <c r="A55" s="28">
        <v>46057.0</v>
      </c>
      <c r="C55" s="1"/>
      <c r="D55" s="1" t="s">
        <v>92</v>
      </c>
      <c r="F55" s="12"/>
      <c r="G55" s="13" t="s">
        <v>156</v>
      </c>
      <c r="H55" s="8"/>
      <c r="I55" s="9"/>
      <c r="J55" s="9"/>
      <c r="L55" s="1" t="s">
        <v>157</v>
      </c>
    </row>
    <row r="56" ht="15.75" customHeight="1">
      <c r="A56" s="28">
        <v>46057.0</v>
      </c>
      <c r="B56" s="1"/>
      <c r="C56" s="1"/>
      <c r="D56" s="1" t="s">
        <v>78</v>
      </c>
      <c r="E56" s="1" t="s">
        <v>122</v>
      </c>
      <c r="F56" s="2" t="s">
        <v>158</v>
      </c>
      <c r="G56" s="10" t="s">
        <v>159</v>
      </c>
      <c r="H56" s="8" t="s">
        <v>37</v>
      </c>
      <c r="I56" s="21">
        <f>29900+5000</f>
        <v>34900</v>
      </c>
      <c r="J56" s="22">
        <f>27358+5000</f>
        <v>32358</v>
      </c>
    </row>
    <row r="57" ht="15.75" customHeight="1">
      <c r="A57" s="28">
        <v>46056.0</v>
      </c>
      <c r="B57" s="1"/>
      <c r="C57" s="1"/>
      <c r="D57" s="1" t="s">
        <v>118</v>
      </c>
      <c r="E57" s="1" t="s">
        <v>130</v>
      </c>
      <c r="F57" s="2" t="s">
        <v>160</v>
      </c>
      <c r="G57" s="24" t="s">
        <v>161</v>
      </c>
      <c r="H57" s="8"/>
      <c r="I57" s="9"/>
      <c r="J57" s="9"/>
    </row>
    <row r="58" ht="15.75" customHeight="1">
      <c r="A58" s="28">
        <v>46056.0</v>
      </c>
      <c r="B58" s="1"/>
      <c r="C58" s="1"/>
      <c r="D58" s="1" t="s">
        <v>162</v>
      </c>
      <c r="E58" s="1" t="s">
        <v>126</v>
      </c>
      <c r="F58" s="2" t="s">
        <v>163</v>
      </c>
      <c r="G58" s="17" t="s">
        <v>164</v>
      </c>
      <c r="H58" s="8"/>
      <c r="I58" s="9"/>
      <c r="J58" s="9"/>
    </row>
    <row r="59" ht="15.75" customHeight="1">
      <c r="A59" s="28">
        <v>46056.0</v>
      </c>
      <c r="C59" s="1"/>
      <c r="D59" s="1" t="s">
        <v>68</v>
      </c>
      <c r="E59" s="1" t="s">
        <v>130</v>
      </c>
      <c r="F59" s="2" t="s">
        <v>165</v>
      </c>
      <c r="G59" s="13" t="s">
        <v>166</v>
      </c>
      <c r="H59" s="8"/>
      <c r="I59" s="9"/>
      <c r="J59" s="9"/>
      <c r="L59" s="1" t="s">
        <v>157</v>
      </c>
    </row>
    <row r="60" ht="15.75" customHeight="1">
      <c r="B60" s="18"/>
      <c r="C60" s="18"/>
      <c r="D60" s="11" t="s">
        <v>167</v>
      </c>
      <c r="F60" s="12" t="s">
        <v>168</v>
      </c>
      <c r="G60" s="16" t="s">
        <v>169</v>
      </c>
      <c r="H60" s="8" t="s">
        <v>37</v>
      </c>
      <c r="I60" s="9">
        <v>34990.0</v>
      </c>
      <c r="J60" s="9">
        <v>34990.0</v>
      </c>
    </row>
    <row r="61" ht="15.75" customHeight="1">
      <c r="A61" s="28">
        <v>46057.0</v>
      </c>
      <c r="B61" s="11"/>
      <c r="C61" s="1"/>
      <c r="D61" s="1" t="s">
        <v>81</v>
      </c>
      <c r="E61" s="1" t="s">
        <v>133</v>
      </c>
      <c r="F61" s="2" t="s">
        <v>170</v>
      </c>
      <c r="G61" s="10" t="s">
        <v>52</v>
      </c>
      <c r="H61" s="8" t="s">
        <v>15</v>
      </c>
      <c r="I61" s="21">
        <v>54990.0</v>
      </c>
      <c r="J61" s="22">
        <v>53065.0</v>
      </c>
    </row>
    <row r="62" ht="15.75" customHeight="1">
      <c r="A62" s="28">
        <v>46057.0</v>
      </c>
      <c r="B62" s="1"/>
      <c r="C62" s="1"/>
      <c r="D62" s="1" t="s">
        <v>19</v>
      </c>
      <c r="E62" s="1" t="s">
        <v>130</v>
      </c>
      <c r="F62" s="2" t="s">
        <v>171</v>
      </c>
      <c r="G62" s="13" t="s">
        <v>172</v>
      </c>
      <c r="H62" s="8"/>
      <c r="I62" s="9"/>
      <c r="J62" s="9"/>
      <c r="L62" s="1" t="s">
        <v>157</v>
      </c>
    </row>
    <row r="63" ht="15.75" customHeight="1">
      <c r="A63" s="28">
        <v>46057.0</v>
      </c>
      <c r="B63" s="1"/>
      <c r="C63" s="1"/>
      <c r="D63" s="1" t="s">
        <v>12</v>
      </c>
      <c r="E63" s="1" t="s">
        <v>130</v>
      </c>
      <c r="F63" s="2" t="s">
        <v>173</v>
      </c>
      <c r="G63" s="10" t="s">
        <v>174</v>
      </c>
      <c r="H63" s="8" t="s">
        <v>37</v>
      </c>
      <c r="I63" s="9">
        <v>34990.0</v>
      </c>
      <c r="J63" s="9">
        <v>33765.0</v>
      </c>
    </row>
    <row r="64" ht="15.75" customHeight="1">
      <c r="A64" s="28">
        <v>46057.0</v>
      </c>
      <c r="B64" s="1"/>
      <c r="C64" s="1"/>
      <c r="D64" s="14" t="s">
        <v>68</v>
      </c>
      <c r="E64" s="1" t="s">
        <v>130</v>
      </c>
      <c r="F64" s="2" t="s">
        <v>175</v>
      </c>
      <c r="G64" s="10" t="s">
        <v>52</v>
      </c>
      <c r="H64" s="8"/>
      <c r="I64" s="9"/>
      <c r="J64" s="9"/>
    </row>
    <row r="65" ht="15.75" customHeight="1">
      <c r="A65" s="28">
        <v>46057.0</v>
      </c>
      <c r="B65" s="1"/>
      <c r="C65" s="1"/>
      <c r="D65" s="1" t="s">
        <v>176</v>
      </c>
      <c r="E65" s="1" t="s">
        <v>133</v>
      </c>
      <c r="F65" s="2" t="s">
        <v>177</v>
      </c>
      <c r="G65" s="13" t="s">
        <v>178</v>
      </c>
      <c r="H65" s="8"/>
      <c r="I65" s="9"/>
      <c r="J65" s="9"/>
      <c r="L65" s="1" t="s">
        <v>179</v>
      </c>
    </row>
    <row r="66" ht="15.75" customHeight="1">
      <c r="A66" s="28">
        <v>46057.0</v>
      </c>
      <c r="B66" s="1"/>
      <c r="C66" s="1"/>
      <c r="D66" s="1" t="s">
        <v>95</v>
      </c>
      <c r="E66" s="1" t="s">
        <v>149</v>
      </c>
      <c r="F66" s="2" t="s">
        <v>180</v>
      </c>
      <c r="G66" s="13" t="s">
        <v>181</v>
      </c>
      <c r="H66" s="8"/>
      <c r="I66" s="9"/>
      <c r="J66" s="9"/>
      <c r="L66" s="1" t="s">
        <v>157</v>
      </c>
    </row>
    <row r="67" ht="15.75" customHeight="1">
      <c r="A67" s="28">
        <v>46057.0</v>
      </c>
      <c r="B67" s="1"/>
      <c r="C67" s="1"/>
      <c r="D67" s="1" t="s">
        <v>182</v>
      </c>
      <c r="E67" s="1" t="s">
        <v>183</v>
      </c>
      <c r="F67" s="2" t="s">
        <v>184</v>
      </c>
      <c r="G67" s="15" t="s">
        <v>185</v>
      </c>
      <c r="H67" s="8"/>
      <c r="I67" s="9"/>
      <c r="J67" s="9"/>
    </row>
    <row r="68" ht="15.75" customHeight="1">
      <c r="A68" s="28">
        <v>46057.0</v>
      </c>
      <c r="B68" s="1"/>
      <c r="C68" s="1"/>
      <c r="D68" s="1" t="s">
        <v>186</v>
      </c>
      <c r="E68" s="1" t="s">
        <v>130</v>
      </c>
      <c r="F68" s="2" t="s">
        <v>187</v>
      </c>
      <c r="G68" s="7" t="s">
        <v>188</v>
      </c>
      <c r="H68" s="8"/>
      <c r="I68" s="21">
        <v>54990.0</v>
      </c>
      <c r="J68" s="22">
        <v>44816.0</v>
      </c>
    </row>
    <row r="69" ht="15.75" customHeight="1">
      <c r="A69" s="28">
        <v>46057.0</v>
      </c>
      <c r="B69" s="1"/>
      <c r="C69" s="1"/>
      <c r="D69" s="1" t="s">
        <v>65</v>
      </c>
      <c r="E69" s="1" t="s">
        <v>126</v>
      </c>
      <c r="F69" s="2" t="s">
        <v>189</v>
      </c>
      <c r="G69" s="16" t="s">
        <v>174</v>
      </c>
      <c r="H69" s="8"/>
      <c r="I69" s="9">
        <v>34990.0</v>
      </c>
      <c r="J69" s="9">
        <v>33765.0</v>
      </c>
    </row>
    <row r="70" ht="15.75" customHeight="1">
      <c r="A70" s="28">
        <v>46058.0</v>
      </c>
      <c r="B70" s="1"/>
      <c r="C70" s="32"/>
      <c r="D70" s="14" t="s">
        <v>62</v>
      </c>
      <c r="E70" s="1" t="s">
        <v>122</v>
      </c>
      <c r="F70" s="2" t="s">
        <v>190</v>
      </c>
      <c r="G70" s="13" t="s">
        <v>191</v>
      </c>
      <c r="H70" s="8"/>
      <c r="I70" s="9"/>
      <c r="J70" s="9"/>
    </row>
    <row r="71" ht="15.75" customHeight="1">
      <c r="A71" s="28">
        <v>46058.0</v>
      </c>
      <c r="C71" s="1"/>
      <c r="D71" s="14" t="s">
        <v>71</v>
      </c>
      <c r="E71" s="1" t="s">
        <v>130</v>
      </c>
      <c r="F71" s="2" t="s">
        <v>192</v>
      </c>
      <c r="G71" s="13" t="s">
        <v>193</v>
      </c>
      <c r="H71" s="8"/>
      <c r="I71" s="9"/>
      <c r="J71" s="9"/>
      <c r="L71" s="1" t="s">
        <v>194</v>
      </c>
    </row>
    <row r="72" ht="15.75" customHeight="1">
      <c r="A72" s="28">
        <v>46058.0</v>
      </c>
      <c r="B72" s="6"/>
      <c r="C72" s="6"/>
      <c r="D72" s="1" t="s">
        <v>195</v>
      </c>
      <c r="F72" s="12" t="s">
        <v>196</v>
      </c>
      <c r="G72" s="15" t="s">
        <v>197</v>
      </c>
      <c r="H72" s="8"/>
      <c r="I72" s="9"/>
      <c r="J72" s="9"/>
    </row>
    <row r="73" ht="15.75" customHeight="1">
      <c r="A73" s="28">
        <v>46058.0</v>
      </c>
      <c r="B73" s="1"/>
      <c r="C73" s="1"/>
      <c r="D73" s="1" t="s">
        <v>12</v>
      </c>
      <c r="E73" s="1" t="s">
        <v>126</v>
      </c>
      <c r="F73" s="2" t="s">
        <v>198</v>
      </c>
      <c r="G73" s="10" t="s">
        <v>199</v>
      </c>
      <c r="H73" s="8"/>
      <c r="I73" s="9"/>
      <c r="J73" s="9"/>
    </row>
    <row r="74" ht="15.75" customHeight="1">
      <c r="A74" s="28">
        <v>46058.0</v>
      </c>
      <c r="C74" s="1"/>
      <c r="D74" s="1" t="s">
        <v>200</v>
      </c>
      <c r="E74" s="1" t="s">
        <v>130</v>
      </c>
      <c r="F74" s="2" t="s">
        <v>201</v>
      </c>
      <c r="G74" s="10" t="s">
        <v>52</v>
      </c>
      <c r="H74" s="8"/>
      <c r="I74" s="9">
        <v>54990.0</v>
      </c>
      <c r="J74" s="9">
        <v>43992.0</v>
      </c>
    </row>
    <row r="75" ht="15.75" customHeight="1">
      <c r="A75" s="28">
        <v>46058.0</v>
      </c>
      <c r="B75" s="1"/>
      <c r="C75" s="1"/>
      <c r="D75" s="1" t="s">
        <v>202</v>
      </c>
      <c r="E75" s="1" t="s">
        <v>133</v>
      </c>
      <c r="F75" s="2" t="s">
        <v>203</v>
      </c>
      <c r="G75" s="13" t="s">
        <v>204</v>
      </c>
      <c r="H75" s="8"/>
      <c r="I75" s="9"/>
      <c r="J75" s="9"/>
      <c r="L75" s="1" t="s">
        <v>157</v>
      </c>
    </row>
    <row r="76" ht="15.75" customHeight="1">
      <c r="A76" s="28">
        <v>46058.0</v>
      </c>
      <c r="B76" s="1"/>
      <c r="C76" s="1"/>
      <c r="D76" s="1" t="s">
        <v>205</v>
      </c>
      <c r="E76" s="1" t="s">
        <v>133</v>
      </c>
      <c r="F76" s="2" t="s">
        <v>206</v>
      </c>
      <c r="G76" s="10" t="s">
        <v>52</v>
      </c>
      <c r="H76" s="8"/>
      <c r="I76" s="21">
        <v>34990.0</v>
      </c>
      <c r="J76" s="22">
        <v>31491.0</v>
      </c>
    </row>
    <row r="77" ht="15.75" customHeight="1">
      <c r="A77" s="28">
        <v>46058.0</v>
      </c>
      <c r="B77" s="1"/>
      <c r="C77" s="1"/>
      <c r="D77" s="14" t="s">
        <v>207</v>
      </c>
      <c r="E77" s="1" t="s">
        <v>149</v>
      </c>
      <c r="F77" s="2" t="s">
        <v>208</v>
      </c>
      <c r="G77" s="13" t="s">
        <v>209</v>
      </c>
      <c r="H77" s="8"/>
      <c r="I77" s="9"/>
      <c r="J77" s="9"/>
      <c r="L77" s="1" t="s">
        <v>157</v>
      </c>
    </row>
    <row r="78" ht="15.75" customHeight="1">
      <c r="A78" s="28">
        <v>46058.0</v>
      </c>
      <c r="B78" s="1"/>
      <c r="C78" s="1"/>
      <c r="D78" s="1" t="s">
        <v>19</v>
      </c>
      <c r="E78" s="1" t="s">
        <v>210</v>
      </c>
      <c r="F78" s="2" t="s">
        <v>211</v>
      </c>
      <c r="G78" s="10" t="s">
        <v>52</v>
      </c>
      <c r="H78" s="8"/>
      <c r="I78" s="21">
        <v>109990.0</v>
      </c>
      <c r="J78" s="22">
        <v>106140.0</v>
      </c>
    </row>
    <row r="79" ht="15.75" customHeight="1">
      <c r="B79" s="6"/>
      <c r="C79" s="11"/>
      <c r="D79" s="6" t="s">
        <v>212</v>
      </c>
      <c r="F79" s="12" t="s">
        <v>213</v>
      </c>
      <c r="G79" s="10" t="s">
        <v>52</v>
      </c>
      <c r="H79" s="8"/>
      <c r="I79" s="9">
        <v>34990.0</v>
      </c>
      <c r="J79" s="9">
        <v>32015.0</v>
      </c>
    </row>
    <row r="80" ht="15.75" customHeight="1">
      <c r="A80" s="28">
        <v>46059.0</v>
      </c>
      <c r="B80" s="1"/>
      <c r="C80" s="1"/>
      <c r="D80" s="1" t="s">
        <v>214</v>
      </c>
      <c r="E80" s="1" t="s">
        <v>126</v>
      </c>
      <c r="F80" s="2" t="s">
        <v>215</v>
      </c>
      <c r="G80" s="10" t="s">
        <v>52</v>
      </c>
      <c r="H80" s="8"/>
      <c r="I80" s="9">
        <v>55490.0</v>
      </c>
      <c r="J80" s="9">
        <v>44816.0</v>
      </c>
    </row>
    <row r="81" ht="15.75" customHeight="1">
      <c r="A81" s="28">
        <v>46059.0</v>
      </c>
      <c r="B81" s="1"/>
      <c r="C81" s="1"/>
      <c r="D81" s="1" t="s">
        <v>216</v>
      </c>
      <c r="E81" s="1" t="s">
        <v>133</v>
      </c>
      <c r="F81" s="2" t="s">
        <v>217</v>
      </c>
      <c r="G81" s="33" t="s">
        <v>218</v>
      </c>
      <c r="H81" s="8"/>
      <c r="I81" s="9"/>
      <c r="J81" s="9"/>
    </row>
    <row r="82" ht="15.75" customHeight="1">
      <c r="A82" s="28">
        <v>46059.0</v>
      </c>
      <c r="C82" s="1"/>
      <c r="D82" s="1" t="s">
        <v>95</v>
      </c>
      <c r="F82" s="2"/>
      <c r="G82" s="13" t="s">
        <v>219</v>
      </c>
      <c r="H82" s="8"/>
      <c r="I82" s="9"/>
      <c r="J82" s="9"/>
    </row>
    <row r="83" ht="15.75" customHeight="1">
      <c r="F83" s="2"/>
      <c r="G83" s="27"/>
      <c r="H83" s="8"/>
      <c r="I83" s="9"/>
      <c r="J83" s="9"/>
    </row>
    <row r="84" ht="15.75" customHeight="1">
      <c r="A84" s="28">
        <v>46060.0</v>
      </c>
      <c r="B84" s="1"/>
      <c r="C84" s="1"/>
      <c r="D84" s="1" t="s">
        <v>220</v>
      </c>
      <c r="E84" s="1" t="s">
        <v>130</v>
      </c>
      <c r="F84" s="2" t="s">
        <v>221</v>
      </c>
      <c r="G84" s="15" t="s">
        <v>222</v>
      </c>
      <c r="H84" s="8"/>
      <c r="I84" s="9"/>
      <c r="J84" s="9"/>
    </row>
    <row r="85" ht="15.75" customHeight="1">
      <c r="A85" s="28">
        <v>46060.0</v>
      </c>
      <c r="B85" s="1"/>
      <c r="C85" s="1"/>
      <c r="D85" s="1" t="s">
        <v>90</v>
      </c>
      <c r="E85" s="1" t="s">
        <v>130</v>
      </c>
      <c r="F85" s="2" t="s">
        <v>223</v>
      </c>
      <c r="G85" s="16" t="s">
        <v>52</v>
      </c>
      <c r="H85" s="8"/>
      <c r="I85" s="9">
        <v>34990.0</v>
      </c>
      <c r="J85" s="9">
        <v>28691.0</v>
      </c>
    </row>
    <row r="86" ht="15.75" customHeight="1">
      <c r="A86" s="28">
        <v>46061.0</v>
      </c>
      <c r="B86" s="1"/>
      <c r="C86" s="1"/>
      <c r="D86" s="1" t="s">
        <v>90</v>
      </c>
      <c r="E86" s="1" t="s">
        <v>126</v>
      </c>
      <c r="F86" s="2" t="s">
        <v>224</v>
      </c>
      <c r="G86" s="10" t="s">
        <v>52</v>
      </c>
      <c r="H86" s="8"/>
      <c r="I86" s="9">
        <v>54990.0</v>
      </c>
      <c r="J86" s="9">
        <v>45806.0</v>
      </c>
    </row>
    <row r="87" ht="15.75" customHeight="1">
      <c r="A87" s="28">
        <v>46061.0</v>
      </c>
      <c r="B87" s="1"/>
      <c r="C87" s="1"/>
      <c r="D87" s="14" t="s">
        <v>137</v>
      </c>
      <c r="E87" s="1" t="s">
        <v>130</v>
      </c>
      <c r="F87" s="2" t="s">
        <v>225</v>
      </c>
      <c r="G87" s="15" t="s">
        <v>226</v>
      </c>
      <c r="H87" s="8"/>
      <c r="I87" s="9"/>
      <c r="J87" s="9"/>
    </row>
    <row r="88" ht="15.75" customHeight="1">
      <c r="A88" s="28">
        <v>46061.0</v>
      </c>
      <c r="B88" s="1"/>
      <c r="C88" s="1"/>
      <c r="D88" s="1" t="s">
        <v>227</v>
      </c>
      <c r="E88" s="1" t="s">
        <v>130</v>
      </c>
      <c r="F88" s="2" t="s">
        <v>228</v>
      </c>
      <c r="G88" s="10" t="s">
        <v>52</v>
      </c>
      <c r="H88" s="8"/>
      <c r="I88" s="9">
        <v>34990.0</v>
      </c>
      <c r="J88" s="9">
        <v>33765.0</v>
      </c>
    </row>
    <row r="89" ht="15.75" customHeight="1">
      <c r="A89" s="28">
        <v>46061.0</v>
      </c>
      <c r="B89" s="1"/>
      <c r="C89" s="1"/>
      <c r="D89" s="1" t="s">
        <v>59</v>
      </c>
      <c r="E89" s="1" t="s">
        <v>229</v>
      </c>
      <c r="F89" s="2" t="s">
        <v>230</v>
      </c>
      <c r="G89" s="13" t="s">
        <v>231</v>
      </c>
      <c r="H89" s="8"/>
      <c r="I89" s="9"/>
      <c r="J89" s="9"/>
    </row>
    <row r="90" ht="15.75" customHeight="1">
      <c r="A90" s="28">
        <v>46061.0</v>
      </c>
      <c r="B90" s="1"/>
      <c r="C90" s="1"/>
      <c r="D90" s="1" t="s">
        <v>29</v>
      </c>
      <c r="E90" s="1" t="s">
        <v>130</v>
      </c>
      <c r="F90" s="2" t="s">
        <v>232</v>
      </c>
      <c r="G90" s="33" t="s">
        <v>233</v>
      </c>
      <c r="H90" s="8"/>
      <c r="I90" s="9"/>
      <c r="J90" s="9"/>
    </row>
    <row r="91" ht="15.75" customHeight="1">
      <c r="A91" s="28">
        <v>46062.0</v>
      </c>
      <c r="B91" s="1"/>
      <c r="C91" s="1"/>
      <c r="D91" s="1" t="s">
        <v>234</v>
      </c>
      <c r="E91" s="1" t="s">
        <v>133</v>
      </c>
      <c r="F91" s="2"/>
      <c r="G91" s="13" t="s">
        <v>235</v>
      </c>
      <c r="H91" s="8"/>
      <c r="I91" s="9"/>
      <c r="J91" s="9"/>
    </row>
    <row r="92" ht="15.75" customHeight="1">
      <c r="A92" s="28">
        <v>46062.0</v>
      </c>
      <c r="B92" s="1"/>
      <c r="C92" s="1"/>
      <c r="D92" s="14" t="s">
        <v>118</v>
      </c>
      <c r="E92" s="1" t="s">
        <v>130</v>
      </c>
      <c r="F92" s="2" t="s">
        <v>236</v>
      </c>
      <c r="G92" s="13" t="s">
        <v>237</v>
      </c>
      <c r="H92" s="8"/>
      <c r="I92" s="9"/>
      <c r="J92" s="9"/>
    </row>
    <row r="93" ht="15.75" customHeight="1">
      <c r="A93" s="28">
        <v>46062.0</v>
      </c>
      <c r="C93" s="1"/>
      <c r="D93" s="1" t="s">
        <v>19</v>
      </c>
      <c r="E93" s="1" t="s">
        <v>130</v>
      </c>
      <c r="F93" s="2" t="s">
        <v>238</v>
      </c>
      <c r="G93" s="13" t="s">
        <v>239</v>
      </c>
      <c r="H93" s="8"/>
      <c r="I93" s="9"/>
      <c r="J93" s="9"/>
    </row>
    <row r="94" ht="15.75" customHeight="1">
      <c r="A94" s="28">
        <v>46063.0</v>
      </c>
      <c r="B94" s="1"/>
      <c r="C94" s="1"/>
      <c r="D94" s="1" t="s">
        <v>12</v>
      </c>
      <c r="E94" s="1" t="s">
        <v>130</v>
      </c>
      <c r="F94" s="2" t="s">
        <v>240</v>
      </c>
      <c r="G94" s="13" t="s">
        <v>241</v>
      </c>
      <c r="H94" s="8"/>
      <c r="I94" s="9"/>
      <c r="J94" s="9"/>
    </row>
    <row r="95" ht="15.75" customHeight="1">
      <c r="A95" s="28">
        <v>46064.0</v>
      </c>
      <c r="B95" s="30"/>
      <c r="C95" s="1"/>
      <c r="D95" s="14" t="s">
        <v>242</v>
      </c>
      <c r="E95" s="1" t="s">
        <v>126</v>
      </c>
      <c r="F95" s="2" t="s">
        <v>243</v>
      </c>
      <c r="G95" s="33" t="s">
        <v>244</v>
      </c>
      <c r="H95" s="8"/>
      <c r="I95" s="9"/>
      <c r="J95" s="9"/>
    </row>
    <row r="96" ht="15.75" customHeight="1">
      <c r="A96" s="28">
        <v>46064.0</v>
      </c>
      <c r="B96" s="1"/>
      <c r="C96" s="1"/>
      <c r="D96" s="1" t="s">
        <v>245</v>
      </c>
      <c r="E96" s="1" t="s">
        <v>130</v>
      </c>
      <c r="F96" s="2" t="s">
        <v>246</v>
      </c>
      <c r="G96" s="15" t="s">
        <v>247</v>
      </c>
      <c r="H96" s="8"/>
      <c r="I96" s="9"/>
      <c r="J96" s="9"/>
    </row>
    <row r="97" ht="15.75" customHeight="1">
      <c r="A97" s="34">
        <v>46064.0</v>
      </c>
      <c r="B97" s="1"/>
      <c r="C97" s="1"/>
      <c r="D97" s="1" t="s">
        <v>248</v>
      </c>
      <c r="E97" s="1" t="s">
        <v>249</v>
      </c>
      <c r="F97" s="2" t="s">
        <v>250</v>
      </c>
      <c r="G97" s="35" t="s">
        <v>251</v>
      </c>
      <c r="H97" s="8"/>
      <c r="I97" s="9"/>
      <c r="J97" s="9"/>
    </row>
    <row r="98" ht="15.75" customHeight="1">
      <c r="A98" s="28">
        <v>46065.0</v>
      </c>
      <c r="B98" s="1"/>
      <c r="C98" s="32"/>
      <c r="D98" s="1" t="s">
        <v>115</v>
      </c>
      <c r="E98" s="1" t="s">
        <v>133</v>
      </c>
      <c r="F98" s="2" t="s">
        <v>252</v>
      </c>
      <c r="G98" s="2" t="s">
        <v>253</v>
      </c>
      <c r="H98" s="8"/>
      <c r="I98" s="9"/>
      <c r="J98" s="9"/>
    </row>
    <row r="99" ht="15.75" customHeight="1">
      <c r="A99" s="28">
        <v>46065.0</v>
      </c>
      <c r="B99" s="1"/>
      <c r="C99" s="31"/>
      <c r="D99" s="1" t="s">
        <v>59</v>
      </c>
      <c r="E99" s="1" t="s">
        <v>133</v>
      </c>
      <c r="F99" s="36" t="s">
        <v>254</v>
      </c>
      <c r="G99" s="2" t="s">
        <v>255</v>
      </c>
      <c r="H99" s="8"/>
      <c r="I99" s="9"/>
      <c r="J99" s="9"/>
    </row>
    <row r="100" ht="15.75" customHeight="1">
      <c r="A100" s="28">
        <v>46065.0</v>
      </c>
      <c r="B100" s="1"/>
      <c r="C100" s="31"/>
      <c r="D100" s="1" t="s">
        <v>90</v>
      </c>
      <c r="E100" s="1" t="s">
        <v>133</v>
      </c>
      <c r="F100" s="2"/>
      <c r="G100" s="15" t="s">
        <v>256</v>
      </c>
      <c r="H100" s="8"/>
      <c r="I100" s="9"/>
      <c r="J100" s="9"/>
    </row>
    <row r="101" ht="15.75" customHeight="1">
      <c r="A101" s="28">
        <v>46066.0</v>
      </c>
      <c r="B101" s="1"/>
      <c r="C101" s="1"/>
      <c r="D101" s="1" t="s">
        <v>257</v>
      </c>
      <c r="E101" s="1" t="s">
        <v>130</v>
      </c>
      <c r="F101" s="2" t="s">
        <v>258</v>
      </c>
      <c r="G101" s="15" t="s">
        <v>259</v>
      </c>
      <c r="H101" s="8"/>
      <c r="I101" s="9"/>
      <c r="J101" s="9"/>
    </row>
    <row r="102" ht="15.75" customHeight="1">
      <c r="A102" s="28">
        <v>46066.0</v>
      </c>
      <c r="B102" s="1"/>
      <c r="C102" s="1"/>
      <c r="D102" s="14" t="s">
        <v>29</v>
      </c>
      <c r="E102" s="1" t="s">
        <v>126</v>
      </c>
      <c r="F102" s="2" t="s">
        <v>260</v>
      </c>
      <c r="G102" s="2" t="s">
        <v>261</v>
      </c>
      <c r="H102" s="8"/>
      <c r="I102" s="9"/>
      <c r="J102" s="9"/>
    </row>
    <row r="103" ht="15.75" customHeight="1">
      <c r="A103" s="28">
        <v>46066.0</v>
      </c>
      <c r="B103" s="1"/>
      <c r="C103" s="1"/>
      <c r="D103" s="1" t="s">
        <v>262</v>
      </c>
      <c r="E103" s="1" t="s">
        <v>149</v>
      </c>
      <c r="F103" s="2" t="s">
        <v>263</v>
      </c>
      <c r="G103" s="37" t="s">
        <v>264</v>
      </c>
      <c r="H103" s="8"/>
      <c r="I103" s="9"/>
      <c r="J103" s="9"/>
    </row>
    <row r="104" ht="15.75" customHeight="1">
      <c r="A104" s="28">
        <v>46066.0</v>
      </c>
      <c r="B104" s="1"/>
      <c r="C104" s="1"/>
      <c r="D104" s="14" t="s">
        <v>265</v>
      </c>
      <c r="E104" s="1" t="s">
        <v>266</v>
      </c>
      <c r="F104" s="2"/>
      <c r="G104" s="2" t="s">
        <v>267</v>
      </c>
      <c r="H104" s="8"/>
      <c r="I104" s="9"/>
      <c r="J104" s="9"/>
    </row>
    <row r="105" ht="15.75" customHeight="1">
      <c r="A105" s="28">
        <v>46066.0</v>
      </c>
      <c r="B105" s="1"/>
      <c r="C105" s="1"/>
      <c r="D105" s="1" t="s">
        <v>102</v>
      </c>
      <c r="E105" s="1" t="s">
        <v>133</v>
      </c>
      <c r="F105" s="2" t="s">
        <v>268</v>
      </c>
      <c r="G105" s="13" t="s">
        <v>269</v>
      </c>
      <c r="H105" s="8"/>
      <c r="I105" s="9"/>
      <c r="J105" s="9"/>
    </row>
    <row r="106" ht="15.75" customHeight="1">
      <c r="A106" s="28">
        <v>46066.0</v>
      </c>
      <c r="B106" s="1"/>
      <c r="C106" s="1"/>
      <c r="D106" s="14" t="s">
        <v>95</v>
      </c>
      <c r="E106" s="1" t="s">
        <v>270</v>
      </c>
      <c r="F106" s="2" t="s">
        <v>271</v>
      </c>
      <c r="G106" s="10" t="s">
        <v>272</v>
      </c>
      <c r="H106" s="8"/>
      <c r="I106" s="9"/>
      <c r="J106" s="9"/>
    </row>
    <row r="107" ht="15.75" customHeight="1">
      <c r="A107" s="28">
        <v>46069.0</v>
      </c>
      <c r="B107" s="1"/>
      <c r="C107" s="1"/>
      <c r="D107" s="14" t="s">
        <v>273</v>
      </c>
      <c r="E107" s="1" t="s">
        <v>130</v>
      </c>
      <c r="F107" s="2" t="s">
        <v>274</v>
      </c>
      <c r="G107" s="2" t="s">
        <v>275</v>
      </c>
      <c r="H107" s="8"/>
      <c r="I107" s="9"/>
      <c r="J107" s="9"/>
    </row>
    <row r="108" ht="15.75" customHeight="1">
      <c r="A108" s="28">
        <v>46070.0</v>
      </c>
      <c r="B108" s="1"/>
      <c r="C108" s="1"/>
      <c r="D108" s="1" t="s">
        <v>276</v>
      </c>
      <c r="E108" s="1" t="s">
        <v>130</v>
      </c>
      <c r="F108" s="2" t="s">
        <v>277</v>
      </c>
      <c r="G108" s="2" t="s">
        <v>250</v>
      </c>
      <c r="H108" s="8"/>
      <c r="I108" s="9"/>
      <c r="J108" s="9"/>
    </row>
    <row r="109" ht="15.75" customHeight="1">
      <c r="F109" s="2"/>
      <c r="G109" s="27"/>
      <c r="H109" s="8"/>
      <c r="I109" s="9"/>
      <c r="J109" s="9"/>
    </row>
    <row r="110" ht="15.75" customHeight="1">
      <c r="F110" s="2"/>
      <c r="G110" s="27"/>
      <c r="H110" s="8"/>
      <c r="I110" s="9"/>
      <c r="J110" s="9"/>
    </row>
    <row r="111" ht="15.75" customHeight="1">
      <c r="F111" s="2"/>
      <c r="G111" s="27"/>
      <c r="H111" s="8"/>
      <c r="I111" s="9"/>
      <c r="J111" s="9"/>
    </row>
    <row r="112" ht="15.75" customHeight="1">
      <c r="F112" s="2"/>
      <c r="G112" s="27"/>
      <c r="H112" s="8"/>
      <c r="I112" s="9"/>
      <c r="J112" s="9"/>
    </row>
    <row r="113" ht="15.75" customHeight="1">
      <c r="F113" s="2"/>
      <c r="G113" s="27"/>
      <c r="H113" s="8"/>
      <c r="I113" s="9"/>
      <c r="J113" s="9"/>
    </row>
    <row r="114" ht="15.75" customHeight="1">
      <c r="F114" s="2"/>
      <c r="G114" s="27"/>
      <c r="H114" s="8"/>
      <c r="I114" s="9"/>
      <c r="J114" s="9"/>
    </row>
    <row r="115" ht="15.75" customHeight="1">
      <c r="F115" s="2"/>
      <c r="G115" s="27"/>
      <c r="H115" s="8"/>
      <c r="I115" s="9"/>
      <c r="J115" s="9"/>
    </row>
    <row r="116" ht="15.75" customHeight="1">
      <c r="F116" s="2"/>
      <c r="G116" s="27"/>
      <c r="H116" s="8"/>
      <c r="I116" s="9"/>
      <c r="J116" s="9"/>
    </row>
    <row r="117" ht="15.75" customHeight="1">
      <c r="F117" s="2"/>
      <c r="G117" s="27"/>
      <c r="H117" s="8"/>
      <c r="I117" s="9"/>
      <c r="J117" s="9"/>
    </row>
    <row r="118" ht="15.75" customHeight="1">
      <c r="F118" s="2"/>
      <c r="G118" s="27"/>
      <c r="H118" s="8"/>
      <c r="I118" s="9"/>
      <c r="J118" s="9"/>
    </row>
    <row r="119" ht="15.75" customHeight="1">
      <c r="F119" s="2"/>
      <c r="G119" s="27"/>
      <c r="H119" s="8"/>
      <c r="I119" s="9"/>
      <c r="J119" s="9"/>
    </row>
    <row r="120" ht="15.75" customHeight="1">
      <c r="F120" s="2"/>
      <c r="G120" s="27"/>
      <c r="H120" s="8"/>
      <c r="I120" s="9"/>
      <c r="J120" s="9"/>
    </row>
    <row r="121" ht="15.75" customHeight="1">
      <c r="F121" s="2"/>
      <c r="G121" s="27"/>
      <c r="H121" s="8"/>
      <c r="I121" s="9"/>
      <c r="J121" s="9"/>
    </row>
    <row r="122" ht="15.75" customHeight="1">
      <c r="F122" s="2"/>
      <c r="G122" s="27"/>
      <c r="H122" s="8"/>
      <c r="I122" s="9"/>
      <c r="J122" s="9"/>
    </row>
    <row r="123" ht="15.75" customHeight="1">
      <c r="F123" s="2"/>
      <c r="G123" s="27"/>
      <c r="H123" s="8"/>
      <c r="I123" s="9"/>
      <c r="J123" s="9"/>
    </row>
    <row r="124" ht="15.75" customHeight="1">
      <c r="F124" s="2"/>
      <c r="G124" s="27"/>
      <c r="H124" s="8"/>
      <c r="I124" s="9"/>
      <c r="J124" s="9"/>
    </row>
    <row r="125" ht="15.75" customHeight="1">
      <c r="F125" s="2"/>
      <c r="G125" s="27"/>
      <c r="H125" s="8"/>
      <c r="I125" s="9"/>
      <c r="J125" s="9"/>
    </row>
    <row r="126" ht="15.75" customHeight="1">
      <c r="F126" s="2"/>
      <c r="G126" s="27"/>
      <c r="H126" s="8"/>
      <c r="I126" s="9"/>
      <c r="J126" s="9"/>
    </row>
    <row r="127" ht="15.75" customHeight="1">
      <c r="F127" s="2"/>
      <c r="G127" s="27"/>
      <c r="H127" s="8"/>
      <c r="I127" s="9"/>
      <c r="J127" s="9"/>
    </row>
    <row r="128" ht="15.75" customHeight="1">
      <c r="F128" s="2"/>
      <c r="G128" s="27"/>
      <c r="H128" s="8"/>
      <c r="I128" s="9"/>
      <c r="J128" s="9"/>
    </row>
    <row r="129" ht="15.75" customHeight="1">
      <c r="F129" s="2"/>
      <c r="G129" s="27"/>
      <c r="H129" s="8"/>
      <c r="I129" s="9"/>
      <c r="J129" s="9"/>
    </row>
    <row r="130" ht="15.75" customHeight="1">
      <c r="F130" s="2"/>
      <c r="G130" s="27"/>
      <c r="H130" s="8"/>
      <c r="I130" s="9"/>
      <c r="J130" s="9"/>
    </row>
    <row r="131" ht="15.75" customHeight="1">
      <c r="F131" s="2"/>
      <c r="G131" s="27"/>
      <c r="H131" s="8"/>
      <c r="I131" s="9"/>
      <c r="J131" s="9"/>
    </row>
    <row r="132" ht="15.75" customHeight="1">
      <c r="F132" s="2"/>
      <c r="G132" s="27"/>
      <c r="H132" s="8"/>
      <c r="I132" s="9"/>
      <c r="J132" s="9"/>
    </row>
    <row r="133" ht="15.75" customHeight="1">
      <c r="F133" s="2"/>
      <c r="G133" s="27"/>
      <c r="H133" s="8"/>
      <c r="I133" s="9"/>
      <c r="J133" s="9"/>
    </row>
    <row r="134" ht="15.75" customHeight="1">
      <c r="F134" s="2"/>
      <c r="G134" s="27"/>
      <c r="H134" s="8"/>
      <c r="I134" s="9"/>
      <c r="J134" s="9"/>
    </row>
    <row r="135" ht="15.75" customHeight="1">
      <c r="F135" s="2"/>
      <c r="G135" s="27"/>
      <c r="H135" s="38"/>
      <c r="I135" s="38"/>
      <c r="J135" s="38"/>
    </row>
    <row r="136" ht="15.75" customHeight="1">
      <c r="F136" s="2"/>
      <c r="G136" s="27"/>
      <c r="H136" s="38"/>
      <c r="I136" s="38"/>
      <c r="J136" s="38"/>
    </row>
    <row r="137" ht="15.75" customHeight="1">
      <c r="F137" s="2"/>
      <c r="G137" s="27"/>
      <c r="H137" s="38"/>
      <c r="I137" s="38"/>
      <c r="J137" s="38"/>
    </row>
    <row r="138" ht="15.75" customHeight="1">
      <c r="F138" s="2"/>
      <c r="G138" s="27"/>
      <c r="H138" s="38"/>
      <c r="I138" s="38"/>
      <c r="J138" s="38"/>
    </row>
    <row r="139" ht="15.75" customHeight="1">
      <c r="F139" s="2"/>
      <c r="G139" s="27"/>
      <c r="H139" s="38"/>
      <c r="I139" s="38"/>
      <c r="J139" s="38"/>
    </row>
    <row r="140" ht="15.75" customHeight="1">
      <c r="F140" s="2"/>
      <c r="G140" s="27"/>
      <c r="H140" s="38"/>
      <c r="I140" s="38"/>
      <c r="J140" s="38"/>
    </row>
    <row r="141" ht="15.75" customHeight="1">
      <c r="F141" s="2"/>
      <c r="G141" s="27"/>
      <c r="H141" s="38"/>
      <c r="I141" s="38"/>
      <c r="J141" s="38"/>
    </row>
    <row r="142" ht="15.75" customHeight="1">
      <c r="F142" s="2"/>
      <c r="G142" s="27"/>
      <c r="H142" s="38"/>
      <c r="I142" s="38"/>
      <c r="J142" s="38"/>
    </row>
    <row r="143" ht="15.75" customHeight="1">
      <c r="F143" s="2"/>
      <c r="G143" s="27"/>
      <c r="H143" s="38"/>
      <c r="I143" s="38"/>
      <c r="J143" s="38"/>
    </row>
    <row r="144" ht="15.75" customHeight="1">
      <c r="F144" s="2"/>
      <c r="G144" s="27"/>
      <c r="H144" s="38"/>
      <c r="I144" s="38"/>
      <c r="J144" s="38"/>
    </row>
    <row r="145" ht="15.75" customHeight="1">
      <c r="F145" s="2"/>
      <c r="G145" s="27"/>
      <c r="H145" s="38"/>
      <c r="I145" s="38"/>
      <c r="J145" s="38"/>
    </row>
    <row r="146" ht="15.75" customHeight="1">
      <c r="F146" s="2"/>
      <c r="G146" s="27"/>
      <c r="H146" s="38"/>
      <c r="I146" s="38"/>
      <c r="J146" s="38"/>
    </row>
    <row r="147" ht="15.75" customHeight="1">
      <c r="F147" s="2"/>
      <c r="G147" s="27"/>
      <c r="H147" s="38"/>
      <c r="I147" s="38"/>
      <c r="J147" s="38"/>
    </row>
    <row r="148" ht="15.75" customHeight="1">
      <c r="F148" s="2"/>
      <c r="G148" s="27"/>
      <c r="H148" s="38"/>
      <c r="I148" s="38"/>
      <c r="J148" s="38"/>
    </row>
    <row r="149" ht="15.75" customHeight="1">
      <c r="F149" s="2"/>
      <c r="G149" s="27"/>
      <c r="H149" s="38"/>
      <c r="I149" s="38"/>
      <c r="J149" s="38"/>
    </row>
    <row r="150" ht="15.75" customHeight="1">
      <c r="F150" s="2"/>
      <c r="G150" s="27"/>
      <c r="H150" s="38"/>
      <c r="I150" s="38"/>
      <c r="J150" s="38"/>
    </row>
    <row r="151" ht="15.75" customHeight="1">
      <c r="F151" s="2"/>
      <c r="G151" s="27"/>
      <c r="H151" s="38"/>
      <c r="I151" s="38"/>
      <c r="J151" s="38"/>
    </row>
    <row r="152" ht="15.75" customHeight="1">
      <c r="F152" s="2"/>
      <c r="G152" s="27"/>
      <c r="H152" s="38"/>
      <c r="I152" s="38"/>
      <c r="J152" s="38"/>
    </row>
    <row r="153" ht="15.75" customHeight="1">
      <c r="F153" s="2"/>
      <c r="G153" s="27"/>
      <c r="H153" s="38"/>
      <c r="I153" s="38"/>
      <c r="J153" s="38"/>
    </row>
    <row r="154" ht="15.75" customHeight="1">
      <c r="F154" s="2"/>
      <c r="G154" s="27"/>
      <c r="H154" s="38"/>
      <c r="I154" s="38"/>
      <c r="J154" s="38"/>
    </row>
    <row r="155" ht="15.75" customHeight="1">
      <c r="F155" s="2"/>
      <c r="G155" s="27"/>
      <c r="H155" s="38"/>
      <c r="I155" s="38"/>
      <c r="J155" s="38"/>
    </row>
    <row r="156" ht="15.75" customHeight="1">
      <c r="F156" s="2"/>
      <c r="G156" s="27"/>
      <c r="H156" s="38"/>
      <c r="I156" s="38"/>
      <c r="J156" s="38"/>
    </row>
    <row r="157" ht="15.75" customHeight="1">
      <c r="F157" s="2"/>
      <c r="G157" s="27"/>
      <c r="H157" s="38"/>
      <c r="I157" s="38"/>
      <c r="J157" s="38"/>
    </row>
    <row r="158" ht="15.75" customHeight="1">
      <c r="F158" s="2"/>
      <c r="G158" s="27"/>
      <c r="H158" s="38"/>
      <c r="I158" s="38"/>
      <c r="J158" s="38"/>
    </row>
    <row r="159" ht="15.75" customHeight="1">
      <c r="F159" s="2"/>
      <c r="G159" s="27"/>
      <c r="H159" s="38"/>
      <c r="I159" s="38"/>
      <c r="J159" s="38"/>
    </row>
    <row r="160" ht="15.75" customHeight="1">
      <c r="F160" s="2"/>
      <c r="G160" s="27"/>
      <c r="H160" s="38"/>
      <c r="I160" s="38"/>
      <c r="J160" s="38"/>
    </row>
    <row r="161" ht="15.75" customHeight="1">
      <c r="F161" s="2"/>
      <c r="G161" s="27"/>
      <c r="H161" s="38"/>
      <c r="I161" s="38"/>
      <c r="J161" s="38"/>
    </row>
    <row r="162" ht="15.75" customHeight="1">
      <c r="F162" s="2"/>
      <c r="G162" s="27"/>
      <c r="H162" s="38"/>
      <c r="I162" s="38"/>
      <c r="J162" s="38"/>
    </row>
    <row r="163" ht="15.75" customHeight="1">
      <c r="F163" s="2"/>
      <c r="G163" s="27"/>
      <c r="H163" s="38"/>
      <c r="I163" s="38"/>
      <c r="J163" s="38"/>
    </row>
    <row r="164" ht="15.75" customHeight="1">
      <c r="F164" s="2"/>
      <c r="G164" s="27"/>
      <c r="H164" s="38"/>
      <c r="I164" s="38"/>
      <c r="J164" s="38"/>
    </row>
    <row r="165" ht="15.75" customHeight="1">
      <c r="F165" s="2"/>
      <c r="G165" s="27"/>
      <c r="H165" s="38"/>
      <c r="I165" s="38"/>
      <c r="J165" s="38"/>
    </row>
    <row r="166" ht="15.75" customHeight="1">
      <c r="F166" s="2"/>
      <c r="G166" s="27"/>
      <c r="H166" s="38"/>
      <c r="I166" s="38"/>
      <c r="J166" s="38"/>
    </row>
    <row r="167" ht="15.75" customHeight="1">
      <c r="F167" s="2"/>
      <c r="G167" s="27"/>
      <c r="H167" s="38"/>
      <c r="I167" s="38"/>
      <c r="J167" s="38"/>
    </row>
    <row r="168" ht="15.75" customHeight="1">
      <c r="F168" s="2"/>
      <c r="G168" s="27"/>
      <c r="H168" s="38"/>
      <c r="I168" s="38"/>
      <c r="J168" s="38"/>
    </row>
    <row r="169" ht="15.75" customHeight="1">
      <c r="F169" s="2"/>
      <c r="G169" s="27"/>
      <c r="H169" s="38"/>
      <c r="I169" s="38"/>
      <c r="J169" s="38"/>
    </row>
    <row r="170" ht="15.75" customHeight="1">
      <c r="F170" s="2"/>
      <c r="G170" s="27"/>
      <c r="H170" s="38"/>
      <c r="I170" s="38"/>
      <c r="J170" s="38"/>
    </row>
    <row r="171" ht="15.75" customHeight="1">
      <c r="F171" s="2"/>
      <c r="G171" s="27"/>
      <c r="H171" s="38"/>
      <c r="I171" s="38"/>
      <c r="J171" s="38"/>
    </row>
    <row r="172" ht="15.75" customHeight="1">
      <c r="F172" s="2"/>
      <c r="G172" s="27"/>
      <c r="H172" s="38"/>
      <c r="I172" s="38"/>
      <c r="J172" s="38"/>
    </row>
    <row r="173" ht="15.75" customHeight="1">
      <c r="F173" s="2"/>
      <c r="G173" s="27"/>
      <c r="H173" s="38"/>
      <c r="I173" s="38"/>
      <c r="J173" s="38"/>
    </row>
    <row r="174" ht="15.75" customHeight="1">
      <c r="F174" s="2"/>
      <c r="G174" s="27"/>
      <c r="H174" s="38"/>
      <c r="I174" s="38"/>
      <c r="J174" s="38"/>
    </row>
    <row r="175" ht="15.75" customHeight="1">
      <c r="F175" s="2"/>
      <c r="G175" s="27"/>
      <c r="H175" s="38"/>
      <c r="I175" s="38"/>
      <c r="J175" s="38"/>
    </row>
    <row r="176" ht="15.75" customHeight="1">
      <c r="F176" s="2"/>
      <c r="G176" s="27"/>
      <c r="H176" s="38"/>
      <c r="I176" s="38"/>
      <c r="J176" s="38"/>
    </row>
    <row r="177" ht="15.75" customHeight="1">
      <c r="F177" s="2"/>
      <c r="G177" s="27"/>
      <c r="H177" s="38"/>
      <c r="I177" s="38"/>
      <c r="J177" s="38"/>
    </row>
    <row r="178" ht="15.75" customHeight="1">
      <c r="F178" s="2"/>
      <c r="G178" s="27"/>
      <c r="H178" s="38"/>
      <c r="I178" s="38"/>
      <c r="J178" s="38"/>
    </row>
    <row r="179" ht="15.75" customHeight="1">
      <c r="F179" s="2"/>
      <c r="G179" s="27"/>
      <c r="H179" s="38"/>
      <c r="I179" s="38"/>
      <c r="J179" s="38"/>
    </row>
    <row r="180" ht="15.75" customHeight="1">
      <c r="F180" s="2"/>
      <c r="G180" s="27"/>
      <c r="H180" s="38"/>
      <c r="I180" s="38"/>
      <c r="J180" s="38"/>
    </row>
    <row r="181" ht="15.75" customHeight="1">
      <c r="F181" s="2"/>
      <c r="G181" s="27"/>
      <c r="H181" s="38"/>
      <c r="I181" s="38"/>
      <c r="J181" s="38"/>
    </row>
    <row r="182" ht="15.75" customHeight="1">
      <c r="F182" s="2"/>
      <c r="G182" s="27"/>
      <c r="H182" s="38"/>
      <c r="I182" s="38"/>
      <c r="J182" s="38"/>
    </row>
    <row r="183" ht="15.75" customHeight="1">
      <c r="F183" s="2"/>
      <c r="G183" s="27"/>
      <c r="H183" s="38"/>
      <c r="I183" s="38"/>
      <c r="J183" s="38"/>
    </row>
    <row r="184" ht="15.75" customHeight="1">
      <c r="F184" s="2"/>
      <c r="G184" s="27"/>
      <c r="H184" s="38"/>
      <c r="I184" s="38"/>
      <c r="J184" s="38"/>
    </row>
    <row r="185" ht="15.75" customHeight="1">
      <c r="F185" s="2"/>
      <c r="G185" s="27"/>
      <c r="H185" s="38"/>
      <c r="I185" s="38"/>
      <c r="J185" s="38"/>
    </row>
    <row r="186" ht="15.75" customHeight="1">
      <c r="F186" s="2"/>
      <c r="G186" s="27"/>
      <c r="H186" s="38"/>
      <c r="I186" s="38"/>
      <c r="J186" s="38"/>
    </row>
    <row r="187" ht="15.75" customHeight="1">
      <c r="F187" s="2"/>
      <c r="G187" s="27"/>
      <c r="H187" s="38"/>
      <c r="I187" s="38"/>
      <c r="J187" s="38"/>
    </row>
    <row r="188" ht="15.75" customHeight="1">
      <c r="F188" s="2"/>
      <c r="G188" s="27"/>
      <c r="H188" s="38"/>
      <c r="I188" s="38"/>
      <c r="J188" s="38"/>
    </row>
    <row r="189" ht="15.75" customHeight="1">
      <c r="F189" s="2"/>
      <c r="G189" s="27"/>
      <c r="H189" s="38"/>
      <c r="I189" s="38"/>
      <c r="J189" s="38"/>
    </row>
    <row r="190" ht="15.75" customHeight="1">
      <c r="F190" s="2"/>
      <c r="G190" s="27"/>
      <c r="H190" s="38"/>
      <c r="I190" s="38"/>
      <c r="J190" s="38"/>
    </row>
    <row r="191" ht="15.75" customHeight="1">
      <c r="F191" s="2"/>
      <c r="G191" s="27"/>
      <c r="H191" s="38"/>
      <c r="I191" s="38"/>
      <c r="J191" s="38"/>
    </row>
    <row r="192" ht="15.75" customHeight="1">
      <c r="F192" s="2"/>
      <c r="G192" s="27"/>
      <c r="H192" s="38"/>
      <c r="I192" s="38"/>
      <c r="J192" s="38"/>
    </row>
    <row r="193" ht="15.75" customHeight="1">
      <c r="F193" s="2"/>
      <c r="G193" s="27"/>
      <c r="H193" s="38"/>
      <c r="I193" s="38"/>
      <c r="J193" s="38"/>
    </row>
    <row r="194" ht="15.75" customHeight="1">
      <c r="F194" s="2"/>
      <c r="G194" s="27"/>
      <c r="H194" s="38"/>
      <c r="I194" s="38"/>
      <c r="J194" s="38"/>
    </row>
    <row r="195" ht="15.75" customHeight="1">
      <c r="F195" s="2"/>
      <c r="G195" s="27"/>
      <c r="H195" s="38"/>
      <c r="I195" s="38"/>
      <c r="J195" s="38"/>
    </row>
    <row r="196" ht="15.75" customHeight="1">
      <c r="F196" s="2"/>
      <c r="G196" s="27"/>
      <c r="H196" s="38"/>
      <c r="I196" s="38"/>
      <c r="J196" s="38"/>
    </row>
    <row r="197" ht="15.75" customHeight="1">
      <c r="F197" s="2"/>
      <c r="G197" s="27"/>
      <c r="H197" s="38"/>
      <c r="I197" s="38"/>
      <c r="J197" s="38"/>
    </row>
    <row r="198" ht="15.75" customHeight="1">
      <c r="F198" s="2"/>
      <c r="G198" s="27"/>
      <c r="H198" s="38"/>
      <c r="I198" s="38"/>
      <c r="J198" s="38"/>
    </row>
    <row r="199" ht="15.75" customHeight="1">
      <c r="F199" s="2"/>
      <c r="G199" s="27"/>
      <c r="H199" s="38"/>
      <c r="I199" s="38"/>
      <c r="J199" s="38"/>
    </row>
    <row r="200" ht="15.75" customHeight="1">
      <c r="F200" s="2"/>
      <c r="G200" s="27"/>
      <c r="H200" s="38"/>
      <c r="I200" s="38"/>
      <c r="J200" s="38"/>
    </row>
    <row r="201" ht="15.75" customHeight="1">
      <c r="F201" s="2"/>
      <c r="G201" s="27"/>
      <c r="H201" s="38"/>
      <c r="I201" s="38"/>
      <c r="J201" s="38"/>
    </row>
    <row r="202" ht="15.75" customHeight="1">
      <c r="F202" s="2"/>
      <c r="G202" s="27"/>
      <c r="H202" s="38"/>
      <c r="I202" s="38"/>
      <c r="J202" s="38"/>
    </row>
    <row r="203" ht="15.75" customHeight="1">
      <c r="F203" s="2"/>
      <c r="G203" s="27"/>
      <c r="H203" s="38"/>
      <c r="I203" s="38"/>
      <c r="J203" s="38"/>
    </row>
    <row r="204" ht="15.75" customHeight="1">
      <c r="F204" s="2"/>
      <c r="G204" s="27"/>
      <c r="H204" s="38"/>
      <c r="I204" s="38"/>
      <c r="J204" s="38"/>
    </row>
    <row r="205" ht="15.75" customHeight="1">
      <c r="F205" s="2"/>
      <c r="G205" s="27"/>
      <c r="H205" s="38"/>
      <c r="I205" s="38"/>
      <c r="J205" s="38"/>
    </row>
    <row r="206" ht="15.75" customHeight="1">
      <c r="F206" s="2"/>
      <c r="G206" s="27"/>
      <c r="H206" s="38"/>
      <c r="I206" s="38"/>
      <c r="J206" s="38"/>
    </row>
    <row r="207" ht="15.75" customHeight="1">
      <c r="F207" s="2"/>
      <c r="G207" s="27"/>
      <c r="H207" s="38"/>
      <c r="I207" s="38"/>
      <c r="J207" s="38"/>
    </row>
    <row r="208" ht="15.75" customHeight="1">
      <c r="F208" s="2"/>
      <c r="G208" s="27"/>
      <c r="H208" s="38"/>
      <c r="I208" s="38"/>
      <c r="J208" s="38"/>
    </row>
    <row r="209" ht="15.75" customHeight="1">
      <c r="F209" s="2"/>
      <c r="G209" s="27"/>
      <c r="H209" s="38"/>
      <c r="I209" s="38"/>
      <c r="J209" s="38"/>
    </row>
    <row r="210" ht="15.75" customHeight="1">
      <c r="F210" s="2"/>
      <c r="G210" s="27"/>
      <c r="H210" s="38"/>
      <c r="I210" s="38"/>
      <c r="J210" s="38"/>
    </row>
    <row r="211" ht="15.75" customHeight="1">
      <c r="F211" s="2"/>
      <c r="G211" s="27"/>
      <c r="H211" s="38"/>
      <c r="I211" s="38"/>
      <c r="J211" s="38"/>
    </row>
    <row r="212" ht="15.75" customHeight="1">
      <c r="F212" s="2"/>
      <c r="G212" s="27"/>
      <c r="H212" s="38"/>
      <c r="I212" s="38"/>
      <c r="J212" s="38"/>
    </row>
    <row r="213" ht="15.75" customHeight="1">
      <c r="F213" s="2"/>
      <c r="G213" s="27"/>
      <c r="H213" s="38"/>
      <c r="I213" s="38"/>
      <c r="J213" s="38"/>
    </row>
    <row r="214" ht="15.75" customHeight="1">
      <c r="F214" s="2"/>
      <c r="G214" s="27"/>
      <c r="H214" s="38"/>
      <c r="I214" s="38"/>
      <c r="J214" s="38"/>
    </row>
    <row r="215" ht="15.75" customHeight="1">
      <c r="F215" s="2"/>
      <c r="G215" s="27"/>
      <c r="H215" s="38"/>
      <c r="I215" s="38"/>
      <c r="J215" s="38"/>
    </row>
    <row r="216" ht="15.75" customHeight="1">
      <c r="F216" s="2"/>
      <c r="G216" s="27"/>
      <c r="H216" s="38"/>
      <c r="I216" s="38"/>
      <c r="J216" s="38"/>
    </row>
    <row r="217" ht="15.75" customHeight="1">
      <c r="F217" s="2"/>
      <c r="G217" s="27"/>
      <c r="H217" s="38"/>
      <c r="I217" s="38"/>
      <c r="J217" s="38"/>
    </row>
    <row r="218" ht="15.75" customHeight="1">
      <c r="F218" s="2"/>
      <c r="G218" s="27"/>
      <c r="H218" s="38"/>
      <c r="I218" s="38"/>
      <c r="J218" s="38"/>
    </row>
    <row r="219" ht="15.75" customHeight="1">
      <c r="F219" s="2"/>
      <c r="G219" s="27"/>
      <c r="H219" s="38"/>
      <c r="I219" s="38"/>
      <c r="J219" s="38"/>
    </row>
    <row r="220" ht="15.75" customHeight="1">
      <c r="F220" s="2"/>
      <c r="G220" s="27"/>
      <c r="H220" s="38"/>
      <c r="I220" s="38"/>
      <c r="J220" s="38"/>
    </row>
    <row r="221" ht="15.75" customHeight="1">
      <c r="F221" s="2"/>
      <c r="G221" s="27"/>
      <c r="H221" s="38"/>
      <c r="I221" s="38"/>
      <c r="J221" s="38"/>
    </row>
    <row r="222" ht="15.75" customHeight="1">
      <c r="F222" s="2"/>
      <c r="G222" s="27"/>
      <c r="H222" s="38"/>
      <c r="I222" s="38"/>
      <c r="J222" s="38"/>
    </row>
    <row r="223" ht="15.75" customHeight="1">
      <c r="F223" s="2"/>
      <c r="G223" s="27"/>
      <c r="H223" s="38"/>
      <c r="I223" s="38"/>
      <c r="J223" s="38"/>
    </row>
    <row r="224" ht="15.75" customHeight="1">
      <c r="F224" s="2"/>
      <c r="G224" s="27"/>
      <c r="H224" s="38"/>
      <c r="I224" s="38"/>
      <c r="J224" s="38"/>
    </row>
    <row r="225" ht="15.75" customHeight="1">
      <c r="F225" s="2"/>
      <c r="G225" s="27"/>
      <c r="H225" s="38"/>
      <c r="I225" s="38"/>
      <c r="J225" s="38"/>
    </row>
    <row r="226" ht="15.75" customHeight="1">
      <c r="F226" s="2"/>
      <c r="G226" s="27"/>
      <c r="H226" s="38"/>
      <c r="I226" s="38"/>
      <c r="J226" s="38"/>
    </row>
    <row r="227" ht="15.75" customHeight="1">
      <c r="F227" s="2"/>
      <c r="G227" s="27"/>
      <c r="H227" s="38"/>
      <c r="I227" s="38"/>
      <c r="J227" s="38"/>
    </row>
    <row r="228" ht="15.75" customHeight="1">
      <c r="F228" s="2"/>
      <c r="G228" s="27"/>
      <c r="H228" s="38"/>
      <c r="I228" s="38"/>
      <c r="J228" s="38"/>
    </row>
    <row r="229" ht="15.75" customHeight="1">
      <c r="F229" s="2"/>
      <c r="G229" s="27"/>
      <c r="H229" s="38"/>
      <c r="I229" s="38"/>
      <c r="J229" s="38"/>
    </row>
    <row r="230" ht="15.75" customHeight="1">
      <c r="F230" s="2"/>
      <c r="G230" s="27"/>
      <c r="H230" s="38"/>
      <c r="I230" s="38"/>
      <c r="J230" s="38"/>
    </row>
    <row r="231" ht="15.75" customHeight="1">
      <c r="F231" s="2"/>
      <c r="G231" s="27"/>
      <c r="H231" s="38"/>
      <c r="I231" s="38"/>
      <c r="J231" s="38"/>
    </row>
    <row r="232" ht="15.75" customHeight="1">
      <c r="F232" s="2"/>
      <c r="G232" s="27"/>
      <c r="H232" s="38"/>
      <c r="I232" s="38"/>
      <c r="J232" s="38"/>
    </row>
    <row r="233" ht="15.75" customHeight="1">
      <c r="F233" s="2"/>
      <c r="G233" s="27"/>
      <c r="H233" s="38"/>
      <c r="I233" s="38"/>
      <c r="J233" s="38"/>
    </row>
    <row r="234" ht="15.75" customHeight="1">
      <c r="F234" s="2"/>
      <c r="G234" s="27"/>
      <c r="H234" s="38"/>
      <c r="I234" s="38"/>
      <c r="J234" s="38"/>
    </row>
    <row r="235" ht="15.75" customHeight="1">
      <c r="F235" s="2"/>
      <c r="G235" s="27"/>
      <c r="H235" s="38"/>
      <c r="I235" s="38"/>
      <c r="J235" s="38"/>
    </row>
    <row r="236" ht="15.75" customHeight="1">
      <c r="F236" s="2"/>
      <c r="G236" s="27"/>
      <c r="H236" s="38"/>
      <c r="I236" s="38"/>
      <c r="J236" s="38"/>
    </row>
    <row r="237" ht="15.75" customHeight="1">
      <c r="F237" s="2"/>
      <c r="G237" s="27"/>
      <c r="H237" s="38"/>
      <c r="I237" s="38"/>
      <c r="J237" s="38"/>
    </row>
    <row r="238" ht="15.75" customHeight="1">
      <c r="F238" s="2"/>
      <c r="G238" s="27"/>
      <c r="H238" s="38"/>
      <c r="I238" s="38"/>
      <c r="J238" s="38"/>
    </row>
    <row r="239" ht="15.75" customHeight="1">
      <c r="F239" s="2"/>
      <c r="G239" s="27"/>
      <c r="H239" s="38"/>
      <c r="I239" s="38"/>
      <c r="J239" s="38"/>
    </row>
    <row r="240" ht="15.75" customHeight="1">
      <c r="F240" s="2"/>
      <c r="G240" s="27"/>
      <c r="H240" s="38"/>
      <c r="I240" s="38"/>
      <c r="J240" s="38"/>
    </row>
    <row r="241" ht="15.75" customHeight="1">
      <c r="F241" s="2"/>
      <c r="G241" s="27"/>
      <c r="H241" s="38"/>
      <c r="I241" s="38"/>
      <c r="J241" s="38"/>
    </row>
    <row r="242" ht="15.75" customHeight="1">
      <c r="F242" s="2"/>
      <c r="G242" s="27"/>
      <c r="H242" s="38"/>
      <c r="I242" s="38"/>
      <c r="J242" s="38"/>
    </row>
    <row r="243" ht="15.75" customHeight="1">
      <c r="F243" s="2"/>
      <c r="G243" s="27"/>
      <c r="H243" s="38"/>
      <c r="I243" s="38"/>
      <c r="J243" s="38"/>
    </row>
    <row r="244" ht="15.75" customHeight="1">
      <c r="F244" s="2"/>
      <c r="G244" s="27"/>
      <c r="H244" s="38"/>
      <c r="I244" s="38"/>
      <c r="J244" s="38"/>
    </row>
    <row r="245" ht="15.75" customHeight="1">
      <c r="F245" s="2"/>
      <c r="G245" s="27"/>
      <c r="H245" s="38"/>
      <c r="I245" s="38"/>
      <c r="J245" s="38"/>
    </row>
    <row r="246" ht="15.75" customHeight="1">
      <c r="F246" s="2"/>
      <c r="G246" s="27"/>
      <c r="H246" s="38"/>
      <c r="I246" s="38"/>
      <c r="J246" s="38"/>
    </row>
    <row r="247" ht="15.75" customHeight="1">
      <c r="F247" s="2"/>
      <c r="G247" s="27"/>
      <c r="H247" s="38"/>
      <c r="I247" s="38"/>
      <c r="J247" s="38"/>
    </row>
    <row r="248" ht="15.75" customHeight="1">
      <c r="F248" s="2"/>
      <c r="G248" s="27"/>
      <c r="H248" s="38"/>
      <c r="I248" s="38"/>
      <c r="J248" s="38"/>
    </row>
    <row r="249" ht="15.75" customHeight="1">
      <c r="F249" s="2"/>
      <c r="G249" s="27"/>
      <c r="H249" s="38"/>
      <c r="I249" s="38"/>
      <c r="J249" s="38"/>
    </row>
    <row r="250" ht="15.75" customHeight="1">
      <c r="F250" s="2"/>
      <c r="G250" s="27"/>
      <c r="H250" s="38"/>
      <c r="I250" s="38"/>
      <c r="J250" s="38"/>
    </row>
    <row r="251" ht="15.75" customHeight="1">
      <c r="F251" s="2"/>
      <c r="G251" s="27"/>
      <c r="H251" s="38"/>
      <c r="I251" s="38"/>
      <c r="J251" s="38"/>
    </row>
    <row r="252" ht="15.75" customHeight="1">
      <c r="F252" s="2"/>
      <c r="G252" s="27"/>
      <c r="H252" s="38"/>
      <c r="I252" s="38"/>
      <c r="J252" s="38"/>
    </row>
    <row r="253" ht="15.75" customHeight="1">
      <c r="F253" s="2"/>
      <c r="G253" s="27"/>
      <c r="H253" s="38"/>
      <c r="I253" s="38"/>
      <c r="J253" s="38"/>
    </row>
    <row r="254" ht="15.75" customHeight="1">
      <c r="F254" s="2"/>
      <c r="G254" s="27"/>
      <c r="H254" s="38"/>
      <c r="I254" s="38"/>
      <c r="J254" s="38"/>
    </row>
    <row r="255" ht="15.75" customHeight="1">
      <c r="F255" s="2"/>
      <c r="G255" s="27"/>
      <c r="H255" s="38"/>
      <c r="I255" s="38"/>
      <c r="J255" s="38"/>
    </row>
    <row r="256" ht="15.75" customHeight="1">
      <c r="F256" s="2"/>
      <c r="G256" s="27"/>
      <c r="H256" s="38"/>
      <c r="I256" s="38"/>
      <c r="J256" s="38"/>
    </row>
    <row r="257" ht="15.75" customHeight="1">
      <c r="F257" s="2"/>
      <c r="G257" s="27"/>
      <c r="H257" s="38"/>
      <c r="I257" s="38"/>
      <c r="J257" s="38"/>
    </row>
    <row r="258" ht="15.75" customHeight="1">
      <c r="F258" s="2"/>
      <c r="G258" s="27"/>
      <c r="H258" s="38"/>
      <c r="I258" s="38"/>
      <c r="J258" s="38"/>
    </row>
    <row r="259" ht="15.75" customHeight="1">
      <c r="F259" s="2"/>
      <c r="G259" s="27"/>
      <c r="H259" s="38"/>
      <c r="I259" s="38"/>
      <c r="J259" s="38"/>
    </row>
    <row r="260" ht="15.75" customHeight="1">
      <c r="F260" s="2"/>
      <c r="G260" s="27"/>
      <c r="H260" s="38"/>
      <c r="I260" s="38"/>
      <c r="J260" s="38"/>
    </row>
    <row r="261" ht="15.75" customHeight="1">
      <c r="F261" s="2"/>
      <c r="G261" s="27"/>
      <c r="H261" s="38"/>
      <c r="I261" s="38"/>
      <c r="J261" s="38"/>
    </row>
    <row r="262" ht="15.75" customHeight="1">
      <c r="F262" s="2"/>
      <c r="G262" s="27"/>
      <c r="H262" s="38"/>
      <c r="I262" s="38"/>
      <c r="J262" s="38"/>
    </row>
    <row r="263" ht="15.75" customHeight="1">
      <c r="F263" s="2"/>
      <c r="G263" s="27"/>
      <c r="H263" s="38"/>
      <c r="I263" s="38"/>
      <c r="J263" s="38"/>
    </row>
    <row r="264" ht="15.75" customHeight="1">
      <c r="F264" s="2"/>
      <c r="G264" s="27"/>
      <c r="H264" s="38"/>
      <c r="I264" s="38"/>
      <c r="J264" s="38"/>
    </row>
    <row r="265" ht="15.75" customHeight="1">
      <c r="F265" s="2"/>
      <c r="G265" s="27"/>
      <c r="H265" s="38"/>
      <c r="I265" s="38"/>
      <c r="J265" s="38"/>
    </row>
    <row r="266" ht="15.75" customHeight="1">
      <c r="F266" s="2"/>
      <c r="G266" s="27"/>
      <c r="H266" s="38"/>
      <c r="I266" s="38"/>
      <c r="J266" s="38"/>
    </row>
    <row r="267" ht="15.75" customHeight="1">
      <c r="F267" s="2"/>
      <c r="G267" s="27"/>
      <c r="H267" s="38"/>
      <c r="I267" s="38"/>
      <c r="J267" s="38"/>
    </row>
    <row r="268" ht="15.75" customHeight="1">
      <c r="F268" s="2"/>
      <c r="G268" s="27"/>
      <c r="H268" s="38"/>
      <c r="I268" s="38"/>
      <c r="J268" s="38"/>
    </row>
    <row r="269" ht="15.75" customHeight="1">
      <c r="F269" s="2"/>
      <c r="G269" s="27"/>
      <c r="H269" s="38"/>
      <c r="I269" s="38"/>
      <c r="J269" s="38"/>
    </row>
    <row r="270" ht="15.75" customHeight="1">
      <c r="F270" s="2"/>
      <c r="G270" s="27"/>
      <c r="H270" s="38"/>
      <c r="I270" s="38"/>
      <c r="J270" s="38"/>
    </row>
    <row r="271" ht="15.75" customHeight="1">
      <c r="F271" s="2"/>
      <c r="G271" s="27"/>
      <c r="H271" s="38"/>
      <c r="I271" s="38"/>
      <c r="J271" s="38"/>
    </row>
    <row r="272" ht="15.75" customHeight="1">
      <c r="F272" s="2"/>
      <c r="G272" s="27"/>
      <c r="H272" s="38"/>
      <c r="I272" s="38"/>
      <c r="J272" s="38"/>
    </row>
    <row r="273" ht="15.75" customHeight="1">
      <c r="F273" s="2"/>
      <c r="G273" s="27"/>
      <c r="H273" s="38"/>
      <c r="I273" s="38"/>
      <c r="J273" s="38"/>
    </row>
    <row r="274" ht="15.75" customHeight="1">
      <c r="F274" s="2"/>
      <c r="G274" s="27"/>
      <c r="H274" s="38"/>
      <c r="I274" s="38"/>
      <c r="J274" s="38"/>
    </row>
    <row r="275" ht="15.75" customHeight="1">
      <c r="F275" s="2"/>
      <c r="G275" s="27"/>
      <c r="H275" s="38"/>
      <c r="I275" s="38"/>
      <c r="J275" s="38"/>
    </row>
    <row r="276" ht="15.75" customHeight="1">
      <c r="F276" s="2"/>
      <c r="G276" s="27"/>
      <c r="H276" s="38"/>
      <c r="I276" s="38"/>
      <c r="J276" s="38"/>
    </row>
    <row r="277" ht="15.75" customHeight="1">
      <c r="F277" s="2"/>
      <c r="G277" s="27"/>
      <c r="H277" s="38"/>
      <c r="I277" s="38"/>
      <c r="J277" s="38"/>
    </row>
    <row r="278" ht="15.75" customHeight="1">
      <c r="F278" s="2"/>
      <c r="G278" s="27"/>
      <c r="H278" s="38"/>
      <c r="I278" s="38"/>
      <c r="J278" s="38"/>
    </row>
    <row r="279" ht="15.75" customHeight="1">
      <c r="F279" s="2"/>
      <c r="G279" s="27"/>
      <c r="H279" s="38"/>
      <c r="I279" s="38"/>
      <c r="J279" s="38"/>
    </row>
    <row r="280" ht="15.75" customHeight="1">
      <c r="F280" s="2"/>
      <c r="G280" s="27"/>
      <c r="H280" s="38"/>
      <c r="I280" s="38"/>
      <c r="J280" s="38"/>
    </row>
    <row r="281" ht="15.75" customHeight="1">
      <c r="F281" s="2"/>
      <c r="G281" s="27"/>
      <c r="H281" s="38"/>
      <c r="I281" s="38"/>
      <c r="J281" s="38"/>
    </row>
    <row r="282" ht="15.75" customHeight="1">
      <c r="F282" s="2"/>
      <c r="G282" s="27"/>
      <c r="H282" s="38"/>
      <c r="I282" s="38"/>
      <c r="J282" s="38"/>
    </row>
    <row r="283" ht="15.75" customHeight="1">
      <c r="F283" s="2"/>
      <c r="G283" s="27"/>
      <c r="H283" s="38"/>
      <c r="I283" s="38"/>
      <c r="J283" s="38"/>
    </row>
    <row r="284" ht="15.75" customHeight="1">
      <c r="F284" s="2"/>
      <c r="G284" s="27"/>
      <c r="H284" s="38"/>
      <c r="I284" s="38"/>
      <c r="J284" s="38"/>
    </row>
    <row r="285" ht="15.75" customHeight="1">
      <c r="F285" s="2"/>
      <c r="G285" s="27"/>
      <c r="H285" s="38"/>
      <c r="I285" s="38"/>
      <c r="J285" s="38"/>
    </row>
    <row r="286" ht="15.75" customHeight="1">
      <c r="F286" s="2"/>
      <c r="G286" s="27"/>
      <c r="H286" s="38"/>
      <c r="I286" s="38"/>
      <c r="J286" s="38"/>
    </row>
    <row r="287" ht="15.75" customHeight="1">
      <c r="F287" s="2"/>
      <c r="G287" s="27"/>
      <c r="H287" s="38"/>
      <c r="I287" s="38"/>
      <c r="J287" s="38"/>
    </row>
    <row r="288" ht="15.75" customHeight="1">
      <c r="F288" s="2"/>
      <c r="G288" s="27"/>
      <c r="H288" s="38"/>
      <c r="I288" s="38"/>
      <c r="J288" s="38"/>
    </row>
    <row r="289" ht="15.75" customHeight="1">
      <c r="F289" s="2"/>
      <c r="G289" s="27"/>
      <c r="H289" s="38"/>
      <c r="I289" s="38"/>
      <c r="J289" s="38"/>
    </row>
    <row r="290" ht="15.75" customHeight="1">
      <c r="F290" s="2"/>
      <c r="G290" s="27"/>
      <c r="H290" s="38"/>
      <c r="I290" s="38"/>
      <c r="J290" s="38"/>
    </row>
    <row r="291" ht="15.75" customHeight="1">
      <c r="F291" s="2"/>
      <c r="G291" s="27"/>
      <c r="H291" s="38"/>
      <c r="I291" s="38"/>
      <c r="J291" s="38"/>
    </row>
    <row r="292" ht="15.75" customHeight="1">
      <c r="F292" s="2"/>
      <c r="G292" s="27"/>
      <c r="H292" s="38"/>
      <c r="I292" s="38"/>
      <c r="J292" s="38"/>
    </row>
    <row r="293" ht="15.75" customHeight="1">
      <c r="F293" s="2"/>
      <c r="G293" s="27"/>
      <c r="H293" s="38"/>
      <c r="I293" s="38"/>
      <c r="J293" s="38"/>
    </row>
    <row r="294" ht="15.75" customHeight="1">
      <c r="F294" s="2"/>
      <c r="G294" s="27"/>
      <c r="H294" s="38"/>
      <c r="I294" s="38"/>
      <c r="J294" s="38"/>
    </row>
    <row r="295" ht="15.75" customHeight="1">
      <c r="F295" s="2"/>
      <c r="G295" s="27"/>
      <c r="H295" s="38"/>
      <c r="I295" s="38"/>
      <c r="J295" s="38"/>
    </row>
    <row r="296" ht="15.75" customHeight="1">
      <c r="F296" s="2"/>
      <c r="G296" s="27"/>
      <c r="H296" s="38"/>
      <c r="I296" s="38"/>
      <c r="J296" s="38"/>
    </row>
    <row r="297" ht="15.75" customHeight="1">
      <c r="F297" s="2"/>
      <c r="G297" s="27"/>
      <c r="H297" s="38"/>
      <c r="I297" s="38"/>
      <c r="J297" s="38"/>
    </row>
    <row r="298" ht="15.75" customHeight="1">
      <c r="F298" s="2"/>
      <c r="G298" s="27"/>
      <c r="H298" s="38"/>
      <c r="I298" s="38"/>
      <c r="J298" s="38"/>
    </row>
    <row r="299" ht="15.75" customHeight="1">
      <c r="F299" s="2"/>
      <c r="G299" s="27"/>
      <c r="H299" s="38"/>
      <c r="I299" s="38"/>
      <c r="J299" s="38"/>
    </row>
    <row r="300" ht="15.75" customHeight="1">
      <c r="F300" s="2"/>
      <c r="G300" s="27"/>
      <c r="H300" s="38"/>
      <c r="I300" s="38"/>
      <c r="J300" s="38"/>
    </row>
    <row r="301" ht="15.75" customHeight="1">
      <c r="F301" s="2"/>
      <c r="G301" s="27"/>
      <c r="H301" s="38"/>
      <c r="I301" s="38"/>
      <c r="J301" s="38"/>
    </row>
    <row r="302" ht="15.75" customHeight="1">
      <c r="F302" s="2"/>
      <c r="G302" s="27"/>
      <c r="H302" s="38"/>
      <c r="I302" s="38"/>
      <c r="J302" s="38"/>
    </row>
    <row r="303" ht="15.75" customHeight="1">
      <c r="F303" s="2"/>
      <c r="G303" s="27"/>
      <c r="H303" s="38"/>
      <c r="I303" s="38"/>
      <c r="J303" s="38"/>
    </row>
    <row r="304" ht="15.75" customHeight="1">
      <c r="F304" s="2"/>
      <c r="G304" s="27"/>
      <c r="H304" s="38"/>
      <c r="I304" s="38"/>
      <c r="J304" s="38"/>
    </row>
    <row r="305" ht="15.75" customHeight="1">
      <c r="F305" s="2"/>
      <c r="G305" s="27"/>
      <c r="H305" s="38"/>
      <c r="I305" s="38"/>
      <c r="J305" s="38"/>
    </row>
    <row r="306" ht="15.75" customHeight="1">
      <c r="F306" s="2"/>
      <c r="G306" s="27"/>
      <c r="H306" s="38"/>
      <c r="I306" s="38"/>
      <c r="J306" s="38"/>
    </row>
    <row r="307" ht="15.75" customHeight="1">
      <c r="F307" s="2"/>
      <c r="G307" s="27"/>
      <c r="H307" s="38"/>
      <c r="I307" s="38"/>
      <c r="J307" s="38"/>
    </row>
    <row r="308" ht="15.75" customHeight="1">
      <c r="F308" s="2"/>
      <c r="G308" s="27"/>
      <c r="H308" s="38"/>
      <c r="I308" s="38"/>
      <c r="J308" s="38"/>
    </row>
    <row r="309" ht="15.75" customHeight="1">
      <c r="F309" s="27"/>
      <c r="G309" s="27"/>
    </row>
    <row r="310" ht="15.75" customHeight="1">
      <c r="F310" s="27"/>
      <c r="G310" s="27"/>
    </row>
    <row r="311" ht="15.75" customHeight="1">
      <c r="F311" s="27"/>
      <c r="G311" s="27"/>
    </row>
    <row r="312" ht="15.75" customHeight="1">
      <c r="F312" s="27"/>
      <c r="G312" s="27"/>
    </row>
    <row r="313" ht="15.75" customHeight="1">
      <c r="F313" s="27"/>
      <c r="G313" s="27"/>
    </row>
    <row r="314" ht="15.75" customHeight="1">
      <c r="F314" s="27"/>
      <c r="G314" s="27"/>
    </row>
    <row r="315" ht="15.75" customHeight="1">
      <c r="F315" s="27"/>
      <c r="G315" s="27"/>
    </row>
    <row r="316" ht="15.75" customHeight="1">
      <c r="F316" s="27"/>
      <c r="G316" s="27"/>
    </row>
    <row r="317" ht="15.75" customHeight="1">
      <c r="F317" s="27"/>
      <c r="G317" s="27"/>
    </row>
    <row r="318" ht="15.75" customHeight="1">
      <c r="F318" s="27"/>
      <c r="G318" s="27"/>
    </row>
    <row r="319" ht="15.75" customHeight="1">
      <c r="F319" s="27"/>
      <c r="G319" s="27"/>
    </row>
    <row r="320" ht="15.75" customHeight="1">
      <c r="F320" s="27"/>
      <c r="G320" s="27"/>
    </row>
    <row r="321" ht="15.75" customHeight="1">
      <c r="F321" s="27"/>
      <c r="G321" s="27"/>
    </row>
    <row r="322" ht="15.75" customHeight="1">
      <c r="F322" s="27"/>
      <c r="G322" s="27"/>
    </row>
    <row r="323" ht="15.75" customHeight="1">
      <c r="F323" s="27"/>
      <c r="G323" s="27"/>
    </row>
    <row r="324" ht="15.75" customHeight="1">
      <c r="F324" s="27"/>
      <c r="G324" s="27"/>
    </row>
    <row r="325" ht="15.75" customHeight="1">
      <c r="F325" s="27"/>
      <c r="G325" s="27"/>
    </row>
    <row r="326" ht="15.75" customHeight="1">
      <c r="F326" s="27"/>
      <c r="G326" s="27"/>
    </row>
    <row r="327" ht="15.75" customHeight="1">
      <c r="F327" s="27"/>
      <c r="G327" s="27"/>
    </row>
    <row r="328" ht="15.75" customHeight="1">
      <c r="F328" s="27"/>
      <c r="G328" s="27"/>
    </row>
    <row r="329" ht="15.75" customHeight="1">
      <c r="F329" s="27"/>
      <c r="G329" s="27"/>
    </row>
    <row r="330" ht="15.75" customHeight="1">
      <c r="F330" s="27"/>
      <c r="G330" s="27"/>
    </row>
    <row r="331" ht="15.75" customHeight="1">
      <c r="F331" s="27"/>
      <c r="G331" s="27"/>
    </row>
    <row r="332" ht="15.75" customHeight="1">
      <c r="F332" s="27"/>
      <c r="G332" s="27"/>
    </row>
    <row r="333" ht="15.75" customHeight="1">
      <c r="F333" s="27"/>
      <c r="G333" s="27"/>
    </row>
    <row r="334" ht="15.75" customHeight="1">
      <c r="F334" s="27"/>
      <c r="G334" s="27"/>
    </row>
    <row r="335" ht="15.75" customHeight="1">
      <c r="F335" s="27"/>
      <c r="G335" s="27"/>
    </row>
    <row r="336" ht="15.75" customHeight="1">
      <c r="F336" s="27"/>
      <c r="G336" s="27"/>
    </row>
    <row r="337" ht="15.75" customHeight="1">
      <c r="F337" s="27"/>
      <c r="G337" s="27"/>
    </row>
    <row r="338" ht="15.75" customHeight="1">
      <c r="F338" s="27"/>
      <c r="G338" s="27"/>
    </row>
    <row r="339" ht="15.75" customHeight="1">
      <c r="F339" s="27"/>
      <c r="G339" s="27"/>
    </row>
    <row r="340" ht="15.75" customHeight="1">
      <c r="F340" s="27"/>
      <c r="G340" s="27"/>
    </row>
    <row r="341" ht="15.75" customHeight="1">
      <c r="F341" s="27"/>
      <c r="G341" s="27"/>
    </row>
    <row r="342" ht="15.75" customHeight="1">
      <c r="F342" s="27"/>
      <c r="G342" s="27"/>
    </row>
    <row r="343" ht="15.75" customHeight="1">
      <c r="F343" s="27"/>
      <c r="G343" s="27"/>
    </row>
    <row r="344" ht="15.75" customHeight="1">
      <c r="F344" s="27"/>
      <c r="G344" s="27"/>
    </row>
    <row r="345" ht="15.75" customHeight="1">
      <c r="F345" s="27"/>
      <c r="G345" s="27"/>
    </row>
    <row r="346" ht="15.75" customHeight="1">
      <c r="F346" s="27"/>
      <c r="G346" s="27"/>
    </row>
    <row r="347" ht="15.75" customHeight="1">
      <c r="F347" s="27"/>
      <c r="G347" s="27"/>
    </row>
    <row r="348" ht="15.75" customHeight="1">
      <c r="F348" s="27"/>
      <c r="G348" s="27"/>
    </row>
    <row r="349" ht="15.75" customHeight="1">
      <c r="F349" s="27"/>
      <c r="G349" s="27"/>
    </row>
    <row r="350" ht="15.75" customHeight="1">
      <c r="F350" s="27"/>
      <c r="G350" s="27"/>
    </row>
    <row r="351" ht="15.75" customHeight="1">
      <c r="F351" s="27"/>
      <c r="G351" s="27"/>
    </row>
    <row r="352" ht="15.75" customHeight="1">
      <c r="F352" s="27"/>
      <c r="G352" s="27"/>
    </row>
    <row r="353" ht="15.75" customHeight="1">
      <c r="F353" s="27"/>
      <c r="G353" s="27"/>
    </row>
    <row r="354" ht="15.75" customHeight="1">
      <c r="F354" s="27"/>
      <c r="G354" s="27"/>
    </row>
    <row r="355" ht="15.75" customHeight="1">
      <c r="F355" s="27"/>
      <c r="G355" s="27"/>
    </row>
    <row r="356" ht="15.75" customHeight="1">
      <c r="F356" s="27"/>
      <c r="G356" s="27"/>
    </row>
    <row r="357" ht="15.75" customHeight="1">
      <c r="F357" s="27"/>
      <c r="G357" s="27"/>
    </row>
    <row r="358" ht="15.75" customHeight="1">
      <c r="F358" s="27"/>
      <c r="G358" s="27"/>
    </row>
    <row r="359" ht="15.75" customHeight="1">
      <c r="F359" s="27"/>
      <c r="G359" s="27"/>
    </row>
    <row r="360" ht="15.75" customHeight="1">
      <c r="F360" s="27"/>
      <c r="G360" s="27"/>
    </row>
    <row r="361" ht="15.75" customHeight="1">
      <c r="F361" s="27"/>
      <c r="G361" s="27"/>
    </row>
    <row r="362" ht="15.75" customHeight="1">
      <c r="F362" s="27"/>
      <c r="G362" s="27"/>
    </row>
    <row r="363" ht="15.75" customHeight="1">
      <c r="F363" s="27"/>
      <c r="G363" s="27"/>
    </row>
    <row r="364" ht="15.75" customHeight="1">
      <c r="F364" s="27"/>
      <c r="G364" s="27"/>
    </row>
    <row r="365" ht="15.75" customHeight="1">
      <c r="F365" s="27"/>
      <c r="G365" s="27"/>
    </row>
    <row r="366" ht="15.75" customHeight="1">
      <c r="F366" s="27"/>
      <c r="G366" s="27"/>
    </row>
    <row r="367" ht="15.75" customHeight="1">
      <c r="F367" s="27"/>
      <c r="G367" s="27"/>
    </row>
    <row r="368" ht="15.75" customHeight="1">
      <c r="F368" s="27"/>
      <c r="G368" s="27"/>
    </row>
    <row r="369" ht="15.75" customHeight="1">
      <c r="F369" s="27"/>
      <c r="G369" s="27"/>
    </row>
    <row r="370" ht="15.75" customHeight="1">
      <c r="F370" s="27"/>
      <c r="G370" s="27"/>
    </row>
    <row r="371" ht="15.75" customHeight="1">
      <c r="F371" s="27"/>
      <c r="G371" s="27"/>
    </row>
    <row r="372" ht="15.75" customHeight="1">
      <c r="F372" s="27"/>
      <c r="G372" s="27"/>
    </row>
    <row r="373" ht="15.75" customHeight="1">
      <c r="F373" s="27"/>
      <c r="G373" s="27"/>
    </row>
    <row r="374" ht="15.75" customHeight="1">
      <c r="F374" s="27"/>
      <c r="G374" s="27"/>
    </row>
    <row r="375" ht="15.75" customHeight="1">
      <c r="F375" s="27"/>
      <c r="G375" s="27"/>
    </row>
    <row r="376" ht="15.75" customHeight="1">
      <c r="F376" s="27"/>
      <c r="G376" s="27"/>
    </row>
    <row r="377" ht="15.75" customHeight="1">
      <c r="F377" s="27"/>
      <c r="G377" s="27"/>
    </row>
    <row r="378" ht="15.75" customHeight="1">
      <c r="F378" s="27"/>
      <c r="G378" s="27"/>
    </row>
    <row r="379" ht="15.75" customHeight="1">
      <c r="F379" s="27"/>
      <c r="G379" s="27"/>
    </row>
    <row r="380" ht="15.75" customHeight="1">
      <c r="F380" s="27"/>
      <c r="G380" s="27"/>
    </row>
    <row r="381" ht="15.75" customHeight="1">
      <c r="F381" s="27"/>
      <c r="G381" s="27"/>
    </row>
    <row r="382" ht="15.75" customHeight="1">
      <c r="F382" s="27"/>
      <c r="G382" s="27"/>
    </row>
    <row r="383" ht="15.75" customHeight="1">
      <c r="F383" s="27"/>
      <c r="G383" s="27"/>
    </row>
    <row r="384" ht="15.75" customHeight="1">
      <c r="F384" s="27"/>
      <c r="G384" s="27"/>
    </row>
    <row r="385" ht="15.75" customHeight="1">
      <c r="F385" s="27"/>
      <c r="G385" s="27"/>
    </row>
    <row r="386" ht="15.75" customHeight="1">
      <c r="F386" s="27"/>
      <c r="G386" s="27"/>
    </row>
    <row r="387" ht="15.75" customHeight="1">
      <c r="F387" s="27"/>
      <c r="G387" s="27"/>
    </row>
    <row r="388" ht="15.75" customHeight="1">
      <c r="F388" s="27"/>
      <c r="G388" s="27"/>
    </row>
    <row r="389" ht="15.75" customHeight="1">
      <c r="F389" s="27"/>
      <c r="G389" s="27"/>
    </row>
    <row r="390" ht="15.75" customHeight="1">
      <c r="F390" s="27"/>
      <c r="G390" s="27"/>
    </row>
    <row r="391" ht="15.75" customHeight="1">
      <c r="F391" s="27"/>
      <c r="G391" s="27"/>
    </row>
    <row r="392" ht="15.75" customHeight="1">
      <c r="F392" s="27"/>
      <c r="G392" s="27"/>
    </row>
    <row r="393" ht="15.75" customHeight="1">
      <c r="F393" s="27"/>
      <c r="G393" s="27"/>
    </row>
    <row r="394" ht="15.75" customHeight="1">
      <c r="F394" s="27"/>
      <c r="G394" s="27"/>
    </row>
    <row r="395" ht="15.75" customHeight="1">
      <c r="F395" s="27"/>
      <c r="G395" s="27"/>
    </row>
    <row r="396" ht="15.75" customHeight="1">
      <c r="F396" s="27"/>
      <c r="G396" s="27"/>
    </row>
    <row r="397" ht="15.75" customHeight="1">
      <c r="F397" s="27"/>
      <c r="G397" s="27"/>
    </row>
    <row r="398" ht="15.75" customHeight="1">
      <c r="F398" s="27"/>
      <c r="G398" s="27"/>
    </row>
    <row r="399" ht="15.75" customHeight="1">
      <c r="F399" s="27"/>
      <c r="G399" s="27"/>
    </row>
    <row r="400" ht="15.75" customHeight="1">
      <c r="F400" s="27"/>
      <c r="G400" s="27"/>
    </row>
    <row r="401" ht="15.75" customHeight="1">
      <c r="F401" s="27"/>
      <c r="G401" s="27"/>
    </row>
    <row r="402" ht="15.75" customHeight="1">
      <c r="F402" s="27"/>
      <c r="G402" s="27"/>
    </row>
    <row r="403" ht="15.75" customHeight="1">
      <c r="F403" s="27"/>
      <c r="G403" s="27"/>
    </row>
    <row r="404" ht="15.75" customHeight="1">
      <c r="F404" s="27"/>
      <c r="G404" s="27"/>
    </row>
    <row r="405" ht="15.75" customHeight="1">
      <c r="F405" s="27"/>
      <c r="G405" s="27"/>
    </row>
    <row r="406" ht="15.75" customHeight="1">
      <c r="F406" s="27"/>
      <c r="G406" s="27"/>
    </row>
    <row r="407" ht="15.75" customHeight="1">
      <c r="F407" s="27"/>
      <c r="G407" s="27"/>
    </row>
    <row r="408" ht="15.75" customHeight="1">
      <c r="F408" s="27"/>
      <c r="G408" s="27"/>
    </row>
    <row r="409" ht="15.75" customHeight="1">
      <c r="F409" s="27"/>
      <c r="G409" s="27"/>
    </row>
    <row r="410" ht="15.75" customHeight="1">
      <c r="F410" s="27"/>
      <c r="G410" s="27"/>
    </row>
    <row r="411" ht="15.75" customHeight="1">
      <c r="F411" s="27"/>
      <c r="G411" s="27"/>
    </row>
    <row r="412" ht="15.75" customHeight="1">
      <c r="F412" s="27"/>
      <c r="G412" s="27"/>
    </row>
    <row r="413" ht="15.75" customHeight="1">
      <c r="F413" s="27"/>
      <c r="G413" s="27"/>
    </row>
    <row r="414" ht="15.75" customHeight="1">
      <c r="F414" s="27"/>
      <c r="G414" s="27"/>
    </row>
    <row r="415" ht="15.75" customHeight="1">
      <c r="F415" s="27"/>
      <c r="G415" s="27"/>
    </row>
    <row r="416" ht="15.75" customHeight="1">
      <c r="F416" s="27"/>
      <c r="G416" s="27"/>
    </row>
    <row r="417" ht="15.75" customHeight="1">
      <c r="F417" s="27"/>
      <c r="G417" s="27"/>
    </row>
    <row r="418" ht="15.75" customHeight="1">
      <c r="F418" s="27"/>
      <c r="G418" s="27"/>
    </row>
    <row r="419" ht="15.75" customHeight="1">
      <c r="F419" s="27"/>
      <c r="G419" s="27"/>
    </row>
    <row r="420" ht="15.75" customHeight="1">
      <c r="F420" s="27"/>
      <c r="G420" s="27"/>
    </row>
    <row r="421" ht="15.75" customHeight="1">
      <c r="F421" s="27"/>
      <c r="G421" s="27"/>
    </row>
    <row r="422" ht="15.75" customHeight="1">
      <c r="F422" s="27"/>
      <c r="G422" s="27"/>
    </row>
    <row r="423" ht="15.75" customHeight="1">
      <c r="F423" s="27"/>
      <c r="G423" s="27"/>
    </row>
    <row r="424" ht="15.75" customHeight="1">
      <c r="F424" s="27"/>
      <c r="G424" s="27"/>
    </row>
    <row r="425" ht="15.75" customHeight="1">
      <c r="F425" s="27"/>
      <c r="G425" s="27"/>
    </row>
    <row r="426" ht="15.75" customHeight="1">
      <c r="F426" s="27"/>
      <c r="G426" s="27"/>
    </row>
    <row r="427" ht="15.75" customHeight="1">
      <c r="F427" s="27"/>
      <c r="G427" s="27"/>
    </row>
    <row r="428" ht="15.75" customHeight="1">
      <c r="F428" s="27"/>
      <c r="G428" s="27"/>
    </row>
    <row r="429" ht="15.75" customHeight="1">
      <c r="F429" s="27"/>
      <c r="G429" s="27"/>
    </row>
    <row r="430" ht="15.75" customHeight="1">
      <c r="F430" s="27"/>
      <c r="G430" s="27"/>
    </row>
    <row r="431" ht="15.75" customHeight="1">
      <c r="F431" s="27"/>
      <c r="G431" s="27"/>
    </row>
    <row r="432" ht="15.75" customHeight="1">
      <c r="F432" s="27"/>
      <c r="G432" s="27"/>
    </row>
    <row r="433" ht="15.75" customHeight="1">
      <c r="F433" s="27"/>
      <c r="G433" s="27"/>
    </row>
    <row r="434" ht="15.75" customHeight="1">
      <c r="F434" s="27"/>
      <c r="G434" s="27"/>
    </row>
    <row r="435" ht="15.75" customHeight="1">
      <c r="F435" s="27"/>
      <c r="G435" s="27"/>
    </row>
    <row r="436" ht="15.75" customHeight="1">
      <c r="F436" s="27"/>
      <c r="G436" s="27"/>
    </row>
    <row r="437" ht="15.75" customHeight="1">
      <c r="F437" s="27"/>
      <c r="G437" s="27"/>
    </row>
    <row r="438" ht="15.75" customHeight="1">
      <c r="F438" s="27"/>
      <c r="G438" s="27"/>
    </row>
    <row r="439" ht="15.75" customHeight="1">
      <c r="F439" s="27"/>
      <c r="G439" s="27"/>
    </row>
    <row r="440" ht="15.75" customHeight="1">
      <c r="F440" s="27"/>
      <c r="G440" s="27"/>
    </row>
    <row r="441" ht="15.75" customHeight="1">
      <c r="F441" s="27"/>
      <c r="G441" s="27"/>
    </row>
    <row r="442" ht="15.75" customHeight="1">
      <c r="F442" s="27"/>
      <c r="G442" s="27"/>
    </row>
    <row r="443" ht="15.75" customHeight="1">
      <c r="F443" s="27"/>
      <c r="G443" s="27"/>
    </row>
    <row r="444" ht="15.75" customHeight="1">
      <c r="F444" s="27"/>
      <c r="G444" s="27"/>
    </row>
    <row r="445" ht="15.75" customHeight="1">
      <c r="F445" s="27"/>
      <c r="G445" s="27"/>
    </row>
    <row r="446" ht="15.75" customHeight="1">
      <c r="F446" s="27"/>
      <c r="G446" s="27"/>
    </row>
    <row r="447" ht="15.75" customHeight="1">
      <c r="F447" s="27"/>
      <c r="G447" s="27"/>
    </row>
    <row r="448" ht="15.75" customHeight="1">
      <c r="F448" s="27"/>
      <c r="G448" s="27"/>
    </row>
    <row r="449" ht="15.75" customHeight="1">
      <c r="F449" s="27"/>
      <c r="G449" s="27"/>
    </row>
    <row r="450" ht="15.75" customHeight="1">
      <c r="F450" s="27"/>
      <c r="G450" s="27"/>
    </row>
    <row r="451" ht="15.75" customHeight="1">
      <c r="F451" s="27"/>
      <c r="G451" s="27"/>
    </row>
    <row r="452" ht="15.75" customHeight="1">
      <c r="F452" s="27"/>
      <c r="G452" s="27"/>
    </row>
    <row r="453" ht="15.75" customHeight="1">
      <c r="F453" s="27"/>
      <c r="G453" s="27"/>
    </row>
    <row r="454" ht="15.75" customHeight="1">
      <c r="F454" s="27"/>
      <c r="G454" s="27"/>
    </row>
    <row r="455" ht="15.75" customHeight="1">
      <c r="F455" s="27"/>
      <c r="G455" s="27"/>
    </row>
    <row r="456" ht="15.75" customHeight="1">
      <c r="F456" s="27"/>
      <c r="G456" s="27"/>
    </row>
    <row r="457" ht="15.75" customHeight="1">
      <c r="F457" s="27"/>
      <c r="G457" s="27"/>
    </row>
    <row r="458" ht="15.75" customHeight="1">
      <c r="F458" s="27"/>
      <c r="G458" s="27"/>
    </row>
    <row r="459" ht="15.75" customHeight="1">
      <c r="F459" s="27"/>
      <c r="G459" s="27"/>
    </row>
    <row r="460" ht="15.75" customHeight="1">
      <c r="F460" s="27"/>
      <c r="G460" s="27"/>
    </row>
    <row r="461" ht="15.75" customHeight="1">
      <c r="F461" s="27"/>
      <c r="G461" s="27"/>
    </row>
    <row r="462" ht="15.75" customHeight="1">
      <c r="F462" s="27"/>
      <c r="G462" s="27"/>
    </row>
    <row r="463" ht="15.75" customHeight="1">
      <c r="F463" s="27"/>
      <c r="G463" s="27"/>
    </row>
    <row r="464" ht="15.75" customHeight="1">
      <c r="F464" s="27"/>
      <c r="G464" s="27"/>
    </row>
    <row r="465" ht="15.75" customHeight="1">
      <c r="F465" s="27"/>
      <c r="G465" s="27"/>
    </row>
    <row r="466" ht="15.75" customHeight="1">
      <c r="F466" s="27"/>
      <c r="G466" s="27"/>
    </row>
    <row r="467" ht="15.75" customHeight="1">
      <c r="F467" s="27"/>
      <c r="G467" s="27"/>
    </row>
    <row r="468" ht="15.75" customHeight="1">
      <c r="F468" s="27"/>
      <c r="G468" s="27"/>
    </row>
    <row r="469" ht="15.75" customHeight="1">
      <c r="F469" s="27"/>
      <c r="G469" s="27"/>
    </row>
    <row r="470" ht="15.75" customHeight="1">
      <c r="F470" s="27"/>
      <c r="G470" s="27"/>
    </row>
    <row r="471" ht="15.75" customHeight="1">
      <c r="F471" s="27"/>
      <c r="G471" s="27"/>
    </row>
    <row r="472" ht="15.75" customHeight="1">
      <c r="F472" s="27"/>
      <c r="G472" s="27"/>
    </row>
    <row r="473" ht="15.75" customHeight="1">
      <c r="F473" s="27"/>
      <c r="G473" s="27"/>
    </row>
    <row r="474" ht="15.75" customHeight="1">
      <c r="F474" s="27"/>
      <c r="G474" s="27"/>
    </row>
    <row r="475" ht="15.75" customHeight="1">
      <c r="F475" s="27"/>
      <c r="G475" s="27"/>
    </row>
    <row r="476" ht="15.75" customHeight="1">
      <c r="F476" s="27"/>
      <c r="G476" s="27"/>
    </row>
    <row r="477" ht="15.75" customHeight="1">
      <c r="F477" s="27"/>
      <c r="G477" s="27"/>
    </row>
    <row r="478" ht="15.75" customHeight="1">
      <c r="F478" s="27"/>
      <c r="G478" s="27"/>
    </row>
    <row r="479" ht="15.75" customHeight="1">
      <c r="F479" s="27"/>
      <c r="G479" s="27"/>
    </row>
    <row r="480" ht="15.75" customHeight="1">
      <c r="F480" s="27"/>
      <c r="G480" s="27"/>
    </row>
    <row r="481" ht="15.75" customHeight="1">
      <c r="F481" s="27"/>
      <c r="G481" s="27"/>
    </row>
    <row r="482" ht="15.75" customHeight="1">
      <c r="F482" s="27"/>
      <c r="G482" s="27"/>
    </row>
    <row r="483" ht="15.75" customHeight="1">
      <c r="F483" s="27"/>
      <c r="G483" s="27"/>
    </row>
    <row r="484" ht="15.75" customHeight="1">
      <c r="F484" s="27"/>
      <c r="G484" s="27"/>
    </row>
    <row r="485" ht="15.75" customHeight="1">
      <c r="F485" s="27"/>
      <c r="G485" s="27"/>
    </row>
    <row r="486" ht="15.75" customHeight="1">
      <c r="F486" s="27"/>
      <c r="G486" s="27"/>
    </row>
    <row r="487" ht="15.75" customHeight="1">
      <c r="F487" s="27"/>
      <c r="G487" s="27"/>
    </row>
    <row r="488" ht="15.75" customHeight="1">
      <c r="F488" s="27"/>
      <c r="G488" s="27"/>
    </row>
    <row r="489" ht="15.75" customHeight="1">
      <c r="F489" s="27"/>
      <c r="G489" s="27"/>
    </row>
    <row r="490" ht="15.75" customHeight="1">
      <c r="F490" s="27"/>
      <c r="G490" s="27"/>
    </row>
    <row r="491" ht="15.75" customHeight="1">
      <c r="F491" s="27"/>
      <c r="G491" s="27"/>
    </row>
    <row r="492" ht="15.75" customHeight="1">
      <c r="F492" s="27"/>
      <c r="G492" s="27"/>
    </row>
    <row r="493" ht="15.75" customHeight="1">
      <c r="F493" s="27"/>
      <c r="G493" s="27"/>
    </row>
    <row r="494" ht="15.75" customHeight="1">
      <c r="F494" s="27"/>
      <c r="G494" s="27"/>
    </row>
    <row r="495" ht="15.75" customHeight="1">
      <c r="F495" s="27"/>
      <c r="G495" s="27"/>
    </row>
    <row r="496" ht="15.75" customHeight="1">
      <c r="F496" s="27"/>
      <c r="G496" s="27"/>
    </row>
    <row r="497" ht="15.75" customHeight="1">
      <c r="F497" s="27"/>
      <c r="G497" s="27"/>
    </row>
    <row r="498" ht="15.75" customHeight="1">
      <c r="F498" s="27"/>
      <c r="G498" s="27"/>
    </row>
    <row r="499" ht="15.75" customHeight="1">
      <c r="F499" s="27"/>
      <c r="G499" s="27"/>
    </row>
    <row r="500" ht="15.75" customHeight="1">
      <c r="F500" s="27"/>
      <c r="G500" s="27"/>
    </row>
    <row r="501" ht="15.75" customHeight="1">
      <c r="F501" s="27"/>
      <c r="G501" s="27"/>
    </row>
    <row r="502" ht="15.75" customHeight="1">
      <c r="F502" s="27"/>
      <c r="G502" s="27"/>
    </row>
    <row r="503" ht="15.75" customHeight="1">
      <c r="F503" s="27"/>
      <c r="G503" s="27"/>
    </row>
    <row r="504" ht="15.75" customHeight="1">
      <c r="F504" s="27"/>
      <c r="G504" s="27"/>
    </row>
    <row r="505" ht="15.75" customHeight="1">
      <c r="F505" s="27"/>
      <c r="G505" s="27"/>
    </row>
    <row r="506" ht="15.75" customHeight="1">
      <c r="F506" s="27"/>
      <c r="G506" s="27"/>
    </row>
    <row r="507" ht="15.75" customHeight="1">
      <c r="F507" s="27"/>
      <c r="G507" s="27"/>
    </row>
    <row r="508" ht="15.75" customHeight="1">
      <c r="F508" s="27"/>
      <c r="G508" s="27"/>
    </row>
    <row r="509" ht="15.75" customHeight="1">
      <c r="F509" s="27"/>
      <c r="G509" s="27"/>
    </row>
    <row r="510" ht="15.75" customHeight="1">
      <c r="F510" s="27"/>
      <c r="G510" s="27"/>
    </row>
    <row r="511" ht="15.75" customHeight="1">
      <c r="F511" s="27"/>
      <c r="G511" s="27"/>
    </row>
    <row r="512" ht="15.75" customHeight="1">
      <c r="F512" s="27"/>
      <c r="G512" s="27"/>
    </row>
    <row r="513" ht="15.75" customHeight="1">
      <c r="F513" s="27"/>
      <c r="G513" s="27"/>
    </row>
    <row r="514" ht="15.75" customHeight="1">
      <c r="F514" s="27"/>
      <c r="G514" s="27"/>
    </row>
    <row r="515" ht="15.75" customHeight="1">
      <c r="F515" s="27"/>
      <c r="G515" s="27"/>
    </row>
    <row r="516" ht="15.75" customHeight="1">
      <c r="F516" s="27"/>
      <c r="G516" s="27"/>
    </row>
    <row r="517" ht="15.75" customHeight="1">
      <c r="F517" s="27"/>
      <c r="G517" s="27"/>
    </row>
    <row r="518" ht="15.75" customHeight="1">
      <c r="F518" s="27"/>
      <c r="G518" s="27"/>
    </row>
    <row r="519" ht="15.75" customHeight="1">
      <c r="F519" s="27"/>
      <c r="G519" s="27"/>
    </row>
    <row r="520" ht="15.75" customHeight="1">
      <c r="F520" s="27"/>
      <c r="G520" s="27"/>
    </row>
    <row r="521" ht="15.75" customHeight="1">
      <c r="F521" s="27"/>
      <c r="G521" s="27"/>
    </row>
    <row r="522" ht="15.75" customHeight="1">
      <c r="F522" s="27"/>
      <c r="G522" s="27"/>
    </row>
    <row r="523" ht="15.75" customHeight="1">
      <c r="F523" s="27"/>
      <c r="G523" s="27"/>
    </row>
    <row r="524" ht="15.75" customHeight="1">
      <c r="F524" s="27"/>
      <c r="G524" s="27"/>
    </row>
    <row r="525" ht="15.75" customHeight="1">
      <c r="F525" s="27"/>
      <c r="G525" s="27"/>
    </row>
    <row r="526" ht="15.75" customHeight="1">
      <c r="F526" s="27"/>
      <c r="G526" s="27"/>
    </row>
    <row r="527" ht="15.75" customHeight="1">
      <c r="F527" s="27"/>
      <c r="G527" s="27"/>
    </row>
    <row r="528" ht="15.75" customHeight="1">
      <c r="F528" s="27"/>
      <c r="G528" s="27"/>
    </row>
    <row r="529" ht="15.75" customHeight="1">
      <c r="F529" s="27"/>
      <c r="G529" s="27"/>
    </row>
    <row r="530" ht="15.75" customHeight="1">
      <c r="F530" s="27"/>
      <c r="G530" s="27"/>
    </row>
    <row r="531" ht="15.75" customHeight="1">
      <c r="F531" s="27"/>
      <c r="G531" s="27"/>
    </row>
    <row r="532" ht="15.75" customHeight="1">
      <c r="F532" s="27"/>
      <c r="G532" s="27"/>
    </row>
    <row r="533" ht="15.75" customHeight="1">
      <c r="F533" s="27"/>
      <c r="G533" s="27"/>
    </row>
    <row r="534" ht="15.75" customHeight="1">
      <c r="F534" s="27"/>
      <c r="G534" s="27"/>
    </row>
    <row r="535" ht="15.75" customHeight="1">
      <c r="F535" s="27"/>
      <c r="G535" s="27"/>
    </row>
    <row r="536" ht="15.75" customHeight="1">
      <c r="F536" s="27"/>
      <c r="G536" s="27"/>
    </row>
    <row r="537" ht="15.75" customHeight="1">
      <c r="F537" s="27"/>
      <c r="G537" s="27"/>
    </row>
    <row r="538" ht="15.75" customHeight="1">
      <c r="F538" s="27"/>
      <c r="G538" s="27"/>
    </row>
    <row r="539" ht="15.75" customHeight="1">
      <c r="F539" s="27"/>
      <c r="G539" s="27"/>
    </row>
    <row r="540" ht="15.75" customHeight="1">
      <c r="F540" s="27"/>
      <c r="G540" s="27"/>
    </row>
    <row r="541" ht="15.75" customHeight="1">
      <c r="F541" s="27"/>
      <c r="G541" s="27"/>
    </row>
    <row r="542" ht="15.75" customHeight="1">
      <c r="F542" s="27"/>
      <c r="G542" s="27"/>
    </row>
    <row r="543" ht="15.75" customHeight="1">
      <c r="F543" s="27"/>
      <c r="G543" s="27"/>
    </row>
    <row r="544" ht="15.75" customHeight="1">
      <c r="F544" s="27"/>
      <c r="G544" s="27"/>
    </row>
    <row r="545" ht="15.75" customHeight="1">
      <c r="F545" s="27"/>
      <c r="G545" s="27"/>
    </row>
    <row r="546" ht="15.75" customHeight="1">
      <c r="F546" s="27"/>
      <c r="G546" s="27"/>
    </row>
    <row r="547" ht="15.75" customHeight="1">
      <c r="F547" s="27"/>
      <c r="G547" s="27"/>
    </row>
    <row r="548" ht="15.75" customHeight="1">
      <c r="F548" s="27"/>
      <c r="G548" s="27"/>
    </row>
    <row r="549" ht="15.75" customHeight="1">
      <c r="F549" s="27"/>
      <c r="G549" s="27"/>
    </row>
    <row r="550" ht="15.75" customHeight="1">
      <c r="F550" s="27"/>
      <c r="G550" s="27"/>
    </row>
    <row r="551" ht="15.75" customHeight="1">
      <c r="F551" s="27"/>
      <c r="G551" s="27"/>
    </row>
    <row r="552" ht="15.75" customHeight="1">
      <c r="F552" s="27"/>
      <c r="G552" s="27"/>
    </row>
    <row r="553" ht="15.75" customHeight="1">
      <c r="F553" s="27"/>
      <c r="G553" s="27"/>
    </row>
    <row r="554" ht="15.75" customHeight="1">
      <c r="F554" s="27"/>
      <c r="G554" s="27"/>
    </row>
    <row r="555" ht="15.75" customHeight="1">
      <c r="F555" s="27"/>
      <c r="G555" s="27"/>
    </row>
    <row r="556" ht="15.75" customHeight="1">
      <c r="F556" s="27"/>
      <c r="G556" s="27"/>
    </row>
    <row r="557" ht="15.75" customHeight="1">
      <c r="F557" s="27"/>
      <c r="G557" s="27"/>
    </row>
    <row r="558" ht="15.75" customHeight="1">
      <c r="F558" s="27"/>
      <c r="G558" s="27"/>
    </row>
    <row r="559" ht="15.75" customHeight="1">
      <c r="F559" s="27"/>
      <c r="G559" s="27"/>
    </row>
    <row r="560" ht="15.75" customHeight="1">
      <c r="F560" s="27"/>
      <c r="G560" s="27"/>
    </row>
    <row r="561" ht="15.75" customHeight="1">
      <c r="F561" s="27"/>
      <c r="G561" s="27"/>
    </row>
    <row r="562" ht="15.75" customHeight="1">
      <c r="F562" s="27"/>
      <c r="G562" s="27"/>
    </row>
    <row r="563" ht="15.75" customHeight="1">
      <c r="F563" s="27"/>
      <c r="G563" s="27"/>
    </row>
    <row r="564" ht="15.75" customHeight="1">
      <c r="F564" s="27"/>
      <c r="G564" s="27"/>
    </row>
    <row r="565" ht="15.75" customHeight="1">
      <c r="F565" s="27"/>
      <c r="G565" s="27"/>
    </row>
    <row r="566" ht="15.75" customHeight="1">
      <c r="F566" s="27"/>
      <c r="G566" s="27"/>
    </row>
    <row r="567" ht="15.75" customHeight="1">
      <c r="F567" s="27"/>
      <c r="G567" s="27"/>
    </row>
    <row r="568" ht="15.75" customHeight="1">
      <c r="F568" s="27"/>
      <c r="G568" s="27"/>
    </row>
    <row r="569" ht="15.75" customHeight="1">
      <c r="F569" s="27"/>
      <c r="G569" s="27"/>
    </row>
    <row r="570" ht="15.75" customHeight="1">
      <c r="F570" s="27"/>
      <c r="G570" s="27"/>
    </row>
    <row r="571" ht="15.75" customHeight="1">
      <c r="F571" s="27"/>
      <c r="G571" s="27"/>
    </row>
    <row r="572" ht="15.75" customHeight="1">
      <c r="F572" s="27"/>
      <c r="G572" s="27"/>
    </row>
    <row r="573" ht="15.75" customHeight="1">
      <c r="F573" s="27"/>
      <c r="G573" s="27"/>
    </row>
    <row r="574" ht="15.75" customHeight="1">
      <c r="F574" s="27"/>
      <c r="G574" s="27"/>
    </row>
    <row r="575" ht="15.75" customHeight="1">
      <c r="F575" s="27"/>
      <c r="G575" s="27"/>
    </row>
    <row r="576" ht="15.75" customHeight="1">
      <c r="F576" s="27"/>
      <c r="G576" s="27"/>
    </row>
    <row r="577" ht="15.75" customHeight="1">
      <c r="F577" s="27"/>
      <c r="G577" s="27"/>
    </row>
    <row r="578" ht="15.75" customHeight="1">
      <c r="F578" s="27"/>
      <c r="G578" s="27"/>
    </row>
    <row r="579" ht="15.75" customHeight="1">
      <c r="F579" s="27"/>
      <c r="G579" s="27"/>
    </row>
    <row r="580" ht="15.75" customHeight="1">
      <c r="F580" s="27"/>
      <c r="G580" s="27"/>
    </row>
    <row r="581" ht="15.75" customHeight="1">
      <c r="F581" s="27"/>
      <c r="G581" s="27"/>
    </row>
    <row r="582" ht="15.75" customHeight="1">
      <c r="F582" s="27"/>
      <c r="G582" s="27"/>
    </row>
    <row r="583" ht="15.75" customHeight="1">
      <c r="F583" s="27"/>
      <c r="G583" s="27"/>
    </row>
    <row r="584" ht="15.75" customHeight="1">
      <c r="F584" s="27"/>
      <c r="G584" s="27"/>
    </row>
    <row r="585" ht="15.75" customHeight="1">
      <c r="F585" s="27"/>
      <c r="G585" s="27"/>
    </row>
    <row r="586" ht="15.75" customHeight="1">
      <c r="F586" s="27"/>
      <c r="G586" s="27"/>
    </row>
    <row r="587" ht="15.75" customHeight="1">
      <c r="F587" s="27"/>
      <c r="G587" s="27"/>
    </row>
    <row r="588" ht="15.75" customHeight="1">
      <c r="F588" s="27"/>
      <c r="G588" s="27"/>
    </row>
    <row r="589" ht="15.75" customHeight="1">
      <c r="F589" s="27"/>
      <c r="G589" s="27"/>
    </row>
    <row r="590" ht="15.75" customHeight="1">
      <c r="F590" s="27"/>
      <c r="G590" s="27"/>
    </row>
    <row r="591" ht="15.75" customHeight="1">
      <c r="F591" s="27"/>
      <c r="G591" s="27"/>
    </row>
    <row r="592" ht="15.75" customHeight="1">
      <c r="F592" s="27"/>
      <c r="G592" s="27"/>
    </row>
    <row r="593" ht="15.75" customHeight="1">
      <c r="F593" s="27"/>
      <c r="G593" s="27"/>
    </row>
    <row r="594" ht="15.75" customHeight="1">
      <c r="F594" s="27"/>
      <c r="G594" s="27"/>
    </row>
    <row r="595" ht="15.75" customHeight="1">
      <c r="F595" s="27"/>
      <c r="G595" s="27"/>
    </row>
    <row r="596" ht="15.75" customHeight="1">
      <c r="F596" s="27"/>
      <c r="G596" s="27"/>
    </row>
    <row r="597" ht="15.75" customHeight="1">
      <c r="F597" s="27"/>
      <c r="G597" s="27"/>
    </row>
    <row r="598" ht="15.75" customHeight="1">
      <c r="F598" s="27"/>
      <c r="G598" s="27"/>
    </row>
    <row r="599" ht="15.75" customHeight="1">
      <c r="F599" s="27"/>
      <c r="G599" s="27"/>
    </row>
    <row r="600" ht="15.75" customHeight="1">
      <c r="F600" s="27"/>
      <c r="G600" s="27"/>
    </row>
    <row r="601" ht="15.75" customHeight="1">
      <c r="F601" s="27"/>
      <c r="G601" s="27"/>
    </row>
    <row r="602" ht="15.75" customHeight="1">
      <c r="F602" s="27"/>
      <c r="G602" s="27"/>
    </row>
    <row r="603" ht="15.75" customHeight="1">
      <c r="F603" s="27"/>
      <c r="G603" s="27"/>
    </row>
    <row r="604" ht="15.75" customHeight="1">
      <c r="F604" s="27"/>
      <c r="G604" s="27"/>
    </row>
    <row r="605" ht="15.75" customHeight="1">
      <c r="F605" s="27"/>
      <c r="G605" s="27"/>
    </row>
    <row r="606" ht="15.75" customHeight="1">
      <c r="F606" s="27"/>
      <c r="G606" s="27"/>
    </row>
    <row r="607" ht="15.75" customHeight="1">
      <c r="F607" s="27"/>
      <c r="G607" s="27"/>
    </row>
    <row r="608" ht="15.75" customHeight="1">
      <c r="F608" s="27"/>
      <c r="G608" s="27"/>
    </row>
    <row r="609" ht="15.75" customHeight="1">
      <c r="F609" s="27"/>
      <c r="G609" s="27"/>
    </row>
    <row r="610" ht="15.75" customHeight="1">
      <c r="F610" s="27"/>
      <c r="G610" s="27"/>
    </row>
    <row r="611" ht="15.75" customHeight="1">
      <c r="F611" s="27"/>
      <c r="G611" s="27"/>
    </row>
    <row r="612" ht="15.75" customHeight="1">
      <c r="F612" s="27"/>
      <c r="G612" s="27"/>
    </row>
    <row r="613" ht="15.75" customHeight="1">
      <c r="F613" s="27"/>
      <c r="G613" s="27"/>
    </row>
    <row r="614" ht="15.75" customHeight="1">
      <c r="F614" s="27"/>
      <c r="G614" s="27"/>
    </row>
    <row r="615" ht="15.75" customHeight="1">
      <c r="F615" s="27"/>
      <c r="G615" s="27"/>
    </row>
    <row r="616" ht="15.75" customHeight="1">
      <c r="F616" s="27"/>
      <c r="G616" s="27"/>
    </row>
    <row r="617" ht="15.75" customHeight="1">
      <c r="F617" s="27"/>
      <c r="G617" s="27"/>
    </row>
    <row r="618" ht="15.75" customHeight="1">
      <c r="F618" s="27"/>
      <c r="G618" s="27"/>
    </row>
    <row r="619" ht="15.75" customHeight="1">
      <c r="F619" s="27"/>
      <c r="G619" s="27"/>
    </row>
    <row r="620" ht="15.75" customHeight="1">
      <c r="F620" s="27"/>
      <c r="G620" s="27"/>
    </row>
    <row r="621" ht="15.75" customHeight="1">
      <c r="F621" s="27"/>
      <c r="G621" s="27"/>
    </row>
    <row r="622" ht="15.75" customHeight="1">
      <c r="F622" s="27"/>
      <c r="G622" s="27"/>
    </row>
    <row r="623" ht="15.75" customHeight="1">
      <c r="F623" s="27"/>
      <c r="G623" s="27"/>
    </row>
    <row r="624" ht="15.75" customHeight="1">
      <c r="F624" s="27"/>
      <c r="G624" s="27"/>
    </row>
    <row r="625" ht="15.75" customHeight="1">
      <c r="F625" s="27"/>
      <c r="G625" s="27"/>
    </row>
    <row r="626" ht="15.75" customHeight="1">
      <c r="F626" s="27"/>
      <c r="G626" s="27"/>
    </row>
    <row r="627" ht="15.75" customHeight="1">
      <c r="F627" s="27"/>
      <c r="G627" s="27"/>
    </row>
    <row r="628" ht="15.75" customHeight="1">
      <c r="F628" s="27"/>
      <c r="G628" s="27"/>
    </row>
    <row r="629" ht="15.75" customHeight="1">
      <c r="F629" s="27"/>
      <c r="G629" s="27"/>
    </row>
    <row r="630" ht="15.75" customHeight="1">
      <c r="F630" s="27"/>
      <c r="G630" s="27"/>
    </row>
    <row r="631" ht="15.75" customHeight="1">
      <c r="F631" s="27"/>
      <c r="G631" s="27"/>
    </row>
    <row r="632" ht="15.75" customHeight="1">
      <c r="F632" s="27"/>
      <c r="G632" s="27"/>
    </row>
    <row r="633" ht="15.75" customHeight="1">
      <c r="F633" s="27"/>
      <c r="G633" s="27"/>
    </row>
    <row r="634" ht="15.75" customHeight="1">
      <c r="F634" s="27"/>
      <c r="G634" s="27"/>
    </row>
    <row r="635" ht="15.75" customHeight="1">
      <c r="F635" s="27"/>
      <c r="G635" s="27"/>
    </row>
    <row r="636" ht="15.75" customHeight="1">
      <c r="F636" s="27"/>
      <c r="G636" s="27"/>
    </row>
    <row r="637" ht="15.75" customHeight="1">
      <c r="F637" s="27"/>
      <c r="G637" s="27"/>
    </row>
    <row r="638" ht="15.75" customHeight="1">
      <c r="F638" s="27"/>
      <c r="G638" s="27"/>
    </row>
    <row r="639" ht="15.75" customHeight="1">
      <c r="F639" s="27"/>
      <c r="G639" s="27"/>
    </row>
    <row r="640" ht="15.75" customHeight="1">
      <c r="F640" s="27"/>
      <c r="G640" s="27"/>
    </row>
    <row r="641" ht="15.75" customHeight="1">
      <c r="F641" s="27"/>
      <c r="G641" s="27"/>
    </row>
    <row r="642" ht="15.75" customHeight="1">
      <c r="F642" s="27"/>
      <c r="G642" s="27"/>
    </row>
    <row r="643" ht="15.75" customHeight="1">
      <c r="F643" s="27"/>
      <c r="G643" s="27"/>
    </row>
    <row r="644" ht="15.75" customHeight="1">
      <c r="F644" s="27"/>
      <c r="G644" s="27"/>
    </row>
    <row r="645" ht="15.75" customHeight="1">
      <c r="F645" s="27"/>
      <c r="G645" s="27"/>
    </row>
    <row r="646" ht="15.75" customHeight="1">
      <c r="F646" s="27"/>
      <c r="G646" s="27"/>
    </row>
    <row r="647" ht="15.75" customHeight="1">
      <c r="F647" s="27"/>
      <c r="G647" s="27"/>
    </row>
    <row r="648" ht="15.75" customHeight="1">
      <c r="F648" s="27"/>
      <c r="G648" s="27"/>
    </row>
    <row r="649" ht="15.75" customHeight="1">
      <c r="F649" s="27"/>
      <c r="G649" s="27"/>
    </row>
    <row r="650" ht="15.75" customHeight="1">
      <c r="F650" s="27"/>
      <c r="G650" s="27"/>
    </row>
    <row r="651" ht="15.75" customHeight="1">
      <c r="F651" s="27"/>
      <c r="G651" s="27"/>
    </row>
    <row r="652" ht="15.75" customHeight="1">
      <c r="F652" s="27"/>
      <c r="G652" s="27"/>
    </row>
    <row r="653" ht="15.75" customHeight="1">
      <c r="F653" s="27"/>
      <c r="G653" s="27"/>
    </row>
    <row r="654" ht="15.75" customHeight="1">
      <c r="F654" s="27"/>
      <c r="G654" s="27"/>
    </row>
    <row r="655" ht="15.75" customHeight="1">
      <c r="F655" s="27"/>
      <c r="G655" s="27"/>
    </row>
    <row r="656" ht="15.75" customHeight="1">
      <c r="F656" s="27"/>
      <c r="G656" s="27"/>
    </row>
    <row r="657" ht="15.75" customHeight="1">
      <c r="F657" s="27"/>
      <c r="G657" s="27"/>
    </row>
    <row r="658" ht="15.75" customHeight="1">
      <c r="F658" s="27"/>
      <c r="G658" s="27"/>
    </row>
    <row r="659" ht="15.75" customHeight="1">
      <c r="F659" s="27"/>
      <c r="G659" s="27"/>
    </row>
    <row r="660" ht="15.75" customHeight="1">
      <c r="F660" s="27"/>
      <c r="G660" s="27"/>
    </row>
    <row r="661" ht="15.75" customHeight="1">
      <c r="F661" s="27"/>
      <c r="G661" s="27"/>
    </row>
    <row r="662" ht="15.75" customHeight="1">
      <c r="F662" s="27"/>
      <c r="G662" s="27"/>
    </row>
    <row r="663" ht="15.75" customHeight="1">
      <c r="F663" s="27"/>
      <c r="G663" s="27"/>
    </row>
    <row r="664" ht="15.75" customHeight="1">
      <c r="F664" s="27"/>
      <c r="G664" s="27"/>
    </row>
    <row r="665" ht="15.75" customHeight="1">
      <c r="F665" s="27"/>
      <c r="G665" s="27"/>
    </row>
    <row r="666" ht="15.75" customHeight="1">
      <c r="F666" s="27"/>
      <c r="G666" s="27"/>
    </row>
    <row r="667" ht="15.75" customHeight="1">
      <c r="F667" s="27"/>
      <c r="G667" s="27"/>
    </row>
    <row r="668" ht="15.75" customHeight="1">
      <c r="F668" s="27"/>
      <c r="G668" s="27"/>
    </row>
    <row r="669" ht="15.75" customHeight="1">
      <c r="F669" s="27"/>
      <c r="G669" s="27"/>
    </row>
    <row r="670" ht="15.75" customHeight="1">
      <c r="F670" s="27"/>
      <c r="G670" s="27"/>
    </row>
    <row r="671" ht="15.75" customHeight="1">
      <c r="F671" s="27"/>
      <c r="G671" s="27"/>
    </row>
    <row r="672" ht="15.75" customHeight="1">
      <c r="F672" s="27"/>
      <c r="G672" s="27"/>
    </row>
    <row r="673" ht="15.75" customHeight="1">
      <c r="F673" s="27"/>
      <c r="G673" s="27"/>
    </row>
    <row r="674" ht="15.75" customHeight="1">
      <c r="F674" s="27"/>
      <c r="G674" s="27"/>
    </row>
    <row r="675" ht="15.75" customHeight="1">
      <c r="F675" s="27"/>
      <c r="G675" s="27"/>
    </row>
    <row r="676" ht="15.75" customHeight="1">
      <c r="F676" s="27"/>
      <c r="G676" s="27"/>
    </row>
    <row r="677" ht="15.75" customHeight="1">
      <c r="F677" s="27"/>
      <c r="G677" s="27"/>
    </row>
    <row r="678" ht="15.75" customHeight="1">
      <c r="F678" s="27"/>
      <c r="G678" s="27"/>
    </row>
    <row r="679" ht="15.75" customHeight="1">
      <c r="F679" s="27"/>
      <c r="G679" s="27"/>
    </row>
    <row r="680" ht="15.75" customHeight="1">
      <c r="F680" s="27"/>
      <c r="G680" s="27"/>
    </row>
    <row r="681" ht="15.75" customHeight="1">
      <c r="F681" s="27"/>
      <c r="G681" s="27"/>
    </row>
    <row r="682" ht="15.75" customHeight="1">
      <c r="F682" s="27"/>
      <c r="G682" s="27"/>
    </row>
    <row r="683" ht="15.75" customHeight="1">
      <c r="F683" s="27"/>
      <c r="G683" s="27"/>
    </row>
    <row r="684" ht="15.75" customHeight="1">
      <c r="F684" s="27"/>
      <c r="G684" s="27"/>
    </row>
    <row r="685" ht="15.75" customHeight="1">
      <c r="F685" s="27"/>
      <c r="G685" s="27"/>
    </row>
    <row r="686" ht="15.75" customHeight="1">
      <c r="F686" s="27"/>
      <c r="G686" s="27"/>
    </row>
    <row r="687" ht="15.75" customHeight="1">
      <c r="F687" s="27"/>
      <c r="G687" s="27"/>
    </row>
    <row r="688" ht="15.75" customHeight="1">
      <c r="F688" s="27"/>
      <c r="G688" s="27"/>
    </row>
    <row r="689" ht="15.75" customHeight="1">
      <c r="F689" s="27"/>
      <c r="G689" s="27"/>
    </row>
    <row r="690" ht="15.75" customHeight="1">
      <c r="F690" s="27"/>
      <c r="G690" s="27"/>
    </row>
    <row r="691" ht="15.75" customHeight="1">
      <c r="F691" s="27"/>
      <c r="G691" s="27"/>
    </row>
    <row r="692" ht="15.75" customHeight="1">
      <c r="F692" s="27"/>
      <c r="G692" s="27"/>
    </row>
    <row r="693" ht="15.75" customHeight="1">
      <c r="F693" s="27"/>
      <c r="G693" s="27"/>
    </row>
    <row r="694" ht="15.75" customHeight="1">
      <c r="F694" s="27"/>
      <c r="G694" s="27"/>
    </row>
    <row r="695" ht="15.75" customHeight="1">
      <c r="F695" s="27"/>
      <c r="G695" s="27"/>
    </row>
    <row r="696" ht="15.75" customHeight="1">
      <c r="F696" s="27"/>
      <c r="G696" s="27"/>
    </row>
    <row r="697" ht="15.75" customHeight="1">
      <c r="F697" s="27"/>
      <c r="G697" s="27"/>
    </row>
    <row r="698" ht="15.75" customHeight="1">
      <c r="F698" s="27"/>
      <c r="G698" s="27"/>
    </row>
    <row r="699" ht="15.75" customHeight="1">
      <c r="F699" s="27"/>
      <c r="G699" s="27"/>
    </row>
    <row r="700" ht="15.75" customHeight="1">
      <c r="F700" s="27"/>
      <c r="G700" s="27"/>
    </row>
    <row r="701" ht="15.75" customHeight="1">
      <c r="F701" s="27"/>
      <c r="G701" s="27"/>
    </row>
    <row r="702" ht="15.75" customHeight="1">
      <c r="F702" s="27"/>
      <c r="G702" s="27"/>
    </row>
    <row r="703" ht="15.75" customHeight="1">
      <c r="F703" s="27"/>
      <c r="G703" s="27"/>
    </row>
    <row r="704" ht="15.75" customHeight="1">
      <c r="F704" s="27"/>
      <c r="G704" s="27"/>
    </row>
    <row r="705" ht="15.75" customHeight="1">
      <c r="F705" s="27"/>
      <c r="G705" s="27"/>
    </row>
    <row r="706" ht="15.75" customHeight="1">
      <c r="F706" s="27"/>
      <c r="G706" s="27"/>
    </row>
    <row r="707" ht="15.75" customHeight="1">
      <c r="F707" s="27"/>
      <c r="G707" s="27"/>
    </row>
    <row r="708" ht="15.75" customHeight="1">
      <c r="F708" s="27"/>
      <c r="G708" s="27"/>
    </row>
    <row r="709" ht="15.75" customHeight="1">
      <c r="F709" s="27"/>
      <c r="G709" s="27"/>
    </row>
    <row r="710" ht="15.75" customHeight="1">
      <c r="F710" s="27"/>
      <c r="G710" s="27"/>
    </row>
    <row r="711" ht="15.75" customHeight="1">
      <c r="F711" s="27"/>
      <c r="G711" s="27"/>
    </row>
    <row r="712" ht="15.75" customHeight="1">
      <c r="F712" s="27"/>
      <c r="G712" s="27"/>
    </row>
    <row r="713" ht="15.75" customHeight="1">
      <c r="F713" s="27"/>
      <c r="G713" s="27"/>
    </row>
    <row r="714" ht="15.75" customHeight="1">
      <c r="F714" s="27"/>
      <c r="G714" s="27"/>
    </row>
    <row r="715" ht="15.75" customHeight="1">
      <c r="F715" s="27"/>
      <c r="G715" s="27"/>
    </row>
    <row r="716" ht="15.75" customHeight="1">
      <c r="F716" s="27"/>
      <c r="G716" s="27"/>
    </row>
    <row r="717" ht="15.75" customHeight="1">
      <c r="F717" s="27"/>
      <c r="G717" s="27"/>
    </row>
    <row r="718" ht="15.75" customHeight="1">
      <c r="F718" s="27"/>
      <c r="G718" s="27"/>
    </row>
    <row r="719" ht="15.75" customHeight="1">
      <c r="F719" s="27"/>
      <c r="G719" s="27"/>
    </row>
    <row r="720" ht="15.75" customHeight="1">
      <c r="F720" s="27"/>
      <c r="G720" s="27"/>
    </row>
    <row r="721" ht="15.75" customHeight="1">
      <c r="F721" s="27"/>
      <c r="G721" s="27"/>
    </row>
    <row r="722" ht="15.75" customHeight="1">
      <c r="F722" s="27"/>
      <c r="G722" s="27"/>
    </row>
    <row r="723" ht="15.75" customHeight="1">
      <c r="F723" s="27"/>
      <c r="G723" s="27"/>
    </row>
    <row r="724" ht="15.75" customHeight="1">
      <c r="F724" s="27"/>
      <c r="G724" s="27"/>
    </row>
    <row r="725" ht="15.75" customHeight="1">
      <c r="F725" s="27"/>
      <c r="G725" s="27"/>
    </row>
    <row r="726" ht="15.75" customHeight="1">
      <c r="F726" s="27"/>
      <c r="G726" s="27"/>
    </row>
    <row r="727" ht="15.75" customHeight="1">
      <c r="F727" s="27"/>
      <c r="G727" s="27"/>
    </row>
    <row r="728" ht="15.75" customHeight="1">
      <c r="F728" s="27"/>
      <c r="G728" s="27"/>
    </row>
    <row r="729" ht="15.75" customHeight="1">
      <c r="F729" s="27"/>
      <c r="G729" s="27"/>
    </row>
    <row r="730" ht="15.75" customHeight="1">
      <c r="F730" s="27"/>
      <c r="G730" s="27"/>
    </row>
    <row r="731" ht="15.75" customHeight="1">
      <c r="F731" s="27"/>
      <c r="G731" s="27"/>
    </row>
    <row r="732" ht="15.75" customHeight="1">
      <c r="F732" s="27"/>
      <c r="G732" s="27"/>
    </row>
    <row r="733" ht="15.75" customHeight="1">
      <c r="F733" s="27"/>
      <c r="G733" s="27"/>
    </row>
    <row r="734" ht="15.75" customHeight="1">
      <c r="F734" s="27"/>
      <c r="G734" s="27"/>
    </row>
    <row r="735" ht="15.75" customHeight="1">
      <c r="F735" s="27"/>
      <c r="G735" s="27"/>
    </row>
    <row r="736" ht="15.75" customHeight="1">
      <c r="F736" s="27"/>
      <c r="G736" s="27"/>
    </row>
    <row r="737" ht="15.75" customHeight="1">
      <c r="F737" s="27"/>
      <c r="G737" s="27"/>
    </row>
    <row r="738" ht="15.75" customHeight="1">
      <c r="F738" s="27"/>
      <c r="G738" s="27"/>
    </row>
    <row r="739" ht="15.75" customHeight="1">
      <c r="F739" s="27"/>
      <c r="G739" s="27"/>
    </row>
    <row r="740" ht="15.75" customHeight="1">
      <c r="F740" s="27"/>
      <c r="G740" s="27"/>
    </row>
    <row r="741" ht="15.75" customHeight="1">
      <c r="F741" s="27"/>
      <c r="G741" s="27"/>
    </row>
    <row r="742" ht="15.75" customHeight="1">
      <c r="F742" s="27"/>
      <c r="G742" s="27"/>
    </row>
    <row r="743" ht="15.75" customHeight="1">
      <c r="F743" s="27"/>
      <c r="G743" s="27"/>
    </row>
    <row r="744" ht="15.75" customHeight="1">
      <c r="F744" s="27"/>
      <c r="G744" s="27"/>
    </row>
    <row r="745" ht="15.75" customHeight="1">
      <c r="F745" s="27"/>
      <c r="G745" s="27"/>
    </row>
    <row r="746" ht="15.75" customHeight="1">
      <c r="F746" s="27"/>
      <c r="G746" s="27"/>
    </row>
    <row r="747" ht="15.75" customHeight="1">
      <c r="F747" s="27"/>
      <c r="G747" s="27"/>
    </row>
    <row r="748" ht="15.75" customHeight="1">
      <c r="F748" s="27"/>
      <c r="G748" s="27"/>
    </row>
    <row r="749" ht="15.75" customHeight="1">
      <c r="F749" s="27"/>
      <c r="G749" s="27"/>
    </row>
    <row r="750" ht="15.75" customHeight="1">
      <c r="F750" s="27"/>
      <c r="G750" s="27"/>
    </row>
    <row r="751" ht="15.75" customHeight="1">
      <c r="F751" s="27"/>
      <c r="G751" s="27"/>
    </row>
    <row r="752" ht="15.75" customHeight="1">
      <c r="F752" s="27"/>
      <c r="G752" s="27"/>
    </row>
    <row r="753" ht="15.75" customHeight="1">
      <c r="F753" s="27"/>
      <c r="G753" s="27"/>
    </row>
    <row r="754" ht="15.75" customHeight="1">
      <c r="F754" s="27"/>
      <c r="G754" s="27"/>
    </row>
    <row r="755" ht="15.75" customHeight="1">
      <c r="F755" s="27"/>
      <c r="G755" s="27"/>
    </row>
    <row r="756" ht="15.75" customHeight="1">
      <c r="F756" s="27"/>
      <c r="G756" s="27"/>
    </row>
    <row r="757" ht="15.75" customHeight="1">
      <c r="F757" s="27"/>
      <c r="G757" s="27"/>
    </row>
    <row r="758" ht="15.75" customHeight="1">
      <c r="F758" s="27"/>
      <c r="G758" s="27"/>
    </row>
    <row r="759" ht="15.75" customHeight="1">
      <c r="F759" s="27"/>
      <c r="G759" s="27"/>
    </row>
    <row r="760" ht="15.75" customHeight="1">
      <c r="F760" s="27"/>
      <c r="G760" s="27"/>
    </row>
    <row r="761" ht="15.75" customHeight="1">
      <c r="F761" s="27"/>
      <c r="G761" s="27"/>
    </row>
    <row r="762" ht="15.75" customHeight="1">
      <c r="F762" s="27"/>
      <c r="G762" s="27"/>
    </row>
    <row r="763" ht="15.75" customHeight="1">
      <c r="F763" s="27"/>
      <c r="G763" s="27"/>
    </row>
    <row r="764" ht="15.75" customHeight="1">
      <c r="F764" s="27"/>
      <c r="G764" s="27"/>
    </row>
    <row r="765" ht="15.75" customHeight="1">
      <c r="F765" s="27"/>
      <c r="G765" s="27"/>
    </row>
    <row r="766" ht="15.75" customHeight="1">
      <c r="F766" s="27"/>
      <c r="G766" s="27"/>
    </row>
    <row r="767" ht="15.75" customHeight="1">
      <c r="F767" s="27"/>
      <c r="G767" s="27"/>
    </row>
    <row r="768" ht="15.75" customHeight="1">
      <c r="F768" s="27"/>
      <c r="G768" s="27"/>
    </row>
    <row r="769" ht="15.75" customHeight="1">
      <c r="F769" s="27"/>
      <c r="G769" s="27"/>
    </row>
    <row r="770" ht="15.75" customHeight="1">
      <c r="F770" s="27"/>
      <c r="G770" s="27"/>
    </row>
    <row r="771" ht="15.75" customHeight="1">
      <c r="F771" s="27"/>
      <c r="G771" s="27"/>
    </row>
    <row r="772" ht="15.75" customHeight="1">
      <c r="F772" s="27"/>
      <c r="G772" s="27"/>
    </row>
    <row r="773" ht="15.75" customHeight="1">
      <c r="F773" s="27"/>
      <c r="G773" s="27"/>
    </row>
    <row r="774" ht="15.75" customHeight="1">
      <c r="F774" s="27"/>
      <c r="G774" s="27"/>
    </row>
    <row r="775" ht="15.75" customHeight="1">
      <c r="F775" s="27"/>
      <c r="G775" s="27"/>
    </row>
    <row r="776" ht="15.75" customHeight="1">
      <c r="F776" s="27"/>
      <c r="G776" s="27"/>
    </row>
    <row r="777" ht="15.75" customHeight="1">
      <c r="F777" s="27"/>
      <c r="G777" s="27"/>
    </row>
    <row r="778" ht="15.75" customHeight="1">
      <c r="F778" s="27"/>
      <c r="G778" s="27"/>
    </row>
    <row r="779" ht="15.75" customHeight="1">
      <c r="F779" s="27"/>
      <c r="G779" s="27"/>
    </row>
    <row r="780" ht="15.75" customHeight="1">
      <c r="F780" s="27"/>
      <c r="G780" s="27"/>
    </row>
    <row r="781" ht="15.75" customHeight="1">
      <c r="F781" s="27"/>
      <c r="G781" s="27"/>
    </row>
    <row r="782" ht="15.75" customHeight="1">
      <c r="F782" s="27"/>
      <c r="G782" s="27"/>
    </row>
    <row r="783" ht="15.75" customHeight="1">
      <c r="F783" s="27"/>
      <c r="G783" s="27"/>
    </row>
    <row r="784" ht="15.75" customHeight="1">
      <c r="F784" s="27"/>
      <c r="G784" s="27"/>
    </row>
    <row r="785" ht="15.75" customHeight="1">
      <c r="F785" s="27"/>
      <c r="G785" s="27"/>
    </row>
    <row r="786" ht="15.75" customHeight="1">
      <c r="F786" s="27"/>
      <c r="G786" s="27"/>
    </row>
    <row r="787" ht="15.75" customHeight="1">
      <c r="F787" s="27"/>
      <c r="G787" s="27"/>
    </row>
    <row r="788" ht="15.75" customHeight="1">
      <c r="F788" s="27"/>
      <c r="G788" s="27"/>
    </row>
    <row r="789" ht="15.75" customHeight="1">
      <c r="F789" s="27"/>
      <c r="G789" s="27"/>
    </row>
    <row r="790" ht="15.75" customHeight="1">
      <c r="F790" s="27"/>
      <c r="G790" s="27"/>
    </row>
    <row r="791" ht="15.75" customHeight="1">
      <c r="F791" s="27"/>
      <c r="G791" s="27"/>
    </row>
    <row r="792" ht="15.75" customHeight="1">
      <c r="F792" s="27"/>
      <c r="G792" s="27"/>
    </row>
    <row r="793" ht="15.75" customHeight="1">
      <c r="F793" s="27"/>
      <c r="G793" s="27"/>
    </row>
    <row r="794" ht="15.75" customHeight="1">
      <c r="F794" s="27"/>
      <c r="G794" s="27"/>
    </row>
    <row r="795" ht="15.75" customHeight="1">
      <c r="F795" s="27"/>
      <c r="G795" s="27"/>
    </row>
    <row r="796" ht="15.75" customHeight="1">
      <c r="F796" s="27"/>
      <c r="G796" s="27"/>
    </row>
    <row r="797" ht="15.75" customHeight="1">
      <c r="F797" s="27"/>
      <c r="G797" s="27"/>
    </row>
    <row r="798" ht="15.75" customHeight="1">
      <c r="F798" s="27"/>
      <c r="G798" s="27"/>
    </row>
    <row r="799" ht="15.75" customHeight="1">
      <c r="F799" s="27"/>
      <c r="G799" s="27"/>
    </row>
    <row r="800" ht="15.75" customHeight="1">
      <c r="F800" s="27"/>
      <c r="G800" s="27"/>
    </row>
    <row r="801" ht="15.75" customHeight="1">
      <c r="F801" s="27"/>
      <c r="G801" s="27"/>
    </row>
    <row r="802" ht="15.75" customHeight="1">
      <c r="F802" s="27"/>
      <c r="G802" s="27"/>
    </row>
    <row r="803" ht="15.75" customHeight="1">
      <c r="F803" s="27"/>
      <c r="G803" s="27"/>
    </row>
    <row r="804" ht="15.75" customHeight="1">
      <c r="F804" s="27"/>
      <c r="G804" s="27"/>
    </row>
    <row r="805" ht="15.75" customHeight="1">
      <c r="F805" s="27"/>
      <c r="G805" s="27"/>
    </row>
    <row r="806" ht="15.75" customHeight="1">
      <c r="F806" s="27"/>
      <c r="G806" s="27"/>
    </row>
    <row r="807" ht="15.75" customHeight="1">
      <c r="F807" s="27"/>
      <c r="G807" s="27"/>
    </row>
    <row r="808" ht="15.75" customHeight="1">
      <c r="F808" s="27"/>
      <c r="G808" s="27"/>
    </row>
    <row r="809" ht="15.75" customHeight="1">
      <c r="F809" s="27"/>
      <c r="G809" s="27"/>
    </row>
    <row r="810" ht="15.75" customHeight="1">
      <c r="F810" s="27"/>
      <c r="G810" s="27"/>
    </row>
    <row r="811" ht="15.75" customHeight="1">
      <c r="F811" s="27"/>
      <c r="G811" s="27"/>
    </row>
    <row r="812" ht="15.75" customHeight="1">
      <c r="F812" s="27"/>
      <c r="G812" s="27"/>
    </row>
    <row r="813" ht="15.75" customHeight="1">
      <c r="F813" s="27"/>
      <c r="G813" s="27"/>
    </row>
    <row r="814" ht="15.75" customHeight="1">
      <c r="F814" s="27"/>
      <c r="G814" s="27"/>
    </row>
    <row r="815" ht="15.75" customHeight="1">
      <c r="F815" s="27"/>
      <c r="G815" s="27"/>
    </row>
    <row r="816" ht="15.75" customHeight="1">
      <c r="F816" s="27"/>
      <c r="G816" s="27"/>
    </row>
    <row r="817" ht="15.75" customHeight="1">
      <c r="F817" s="27"/>
      <c r="G817" s="27"/>
    </row>
    <row r="818" ht="15.75" customHeight="1">
      <c r="F818" s="27"/>
      <c r="G818" s="27"/>
    </row>
    <row r="819" ht="15.75" customHeight="1">
      <c r="F819" s="27"/>
      <c r="G819" s="27"/>
    </row>
    <row r="820" ht="15.75" customHeight="1">
      <c r="F820" s="27"/>
      <c r="G820" s="27"/>
    </row>
    <row r="821" ht="15.75" customHeight="1">
      <c r="F821" s="27"/>
      <c r="G821" s="27"/>
    </row>
    <row r="822" ht="15.75" customHeight="1">
      <c r="F822" s="27"/>
      <c r="G822" s="27"/>
    </row>
    <row r="823" ht="15.75" customHeight="1">
      <c r="F823" s="27"/>
      <c r="G823" s="27"/>
    </row>
    <row r="824" ht="15.75" customHeight="1">
      <c r="F824" s="27"/>
      <c r="G824" s="27"/>
    </row>
    <row r="825" ht="15.75" customHeight="1">
      <c r="F825" s="27"/>
      <c r="G825" s="27"/>
    </row>
    <row r="826" ht="15.75" customHeight="1">
      <c r="F826" s="27"/>
      <c r="G826" s="27"/>
    </row>
    <row r="827" ht="15.75" customHeight="1">
      <c r="F827" s="27"/>
      <c r="G827" s="27"/>
    </row>
    <row r="828" ht="15.75" customHeight="1">
      <c r="F828" s="27"/>
      <c r="G828" s="27"/>
    </row>
    <row r="829" ht="15.75" customHeight="1">
      <c r="F829" s="27"/>
      <c r="G829" s="27"/>
    </row>
    <row r="830" ht="15.75" customHeight="1">
      <c r="F830" s="27"/>
      <c r="G830" s="27"/>
    </row>
    <row r="831" ht="15.75" customHeight="1">
      <c r="F831" s="27"/>
      <c r="G831" s="27"/>
    </row>
    <row r="832" ht="15.75" customHeight="1">
      <c r="F832" s="27"/>
      <c r="G832" s="27"/>
    </row>
    <row r="833" ht="15.75" customHeight="1">
      <c r="F833" s="27"/>
      <c r="G833" s="27"/>
    </row>
    <row r="834" ht="15.75" customHeight="1">
      <c r="F834" s="27"/>
      <c r="G834" s="27"/>
    </row>
    <row r="835" ht="15.75" customHeight="1">
      <c r="F835" s="27"/>
      <c r="G835" s="27"/>
    </row>
    <row r="836" ht="15.75" customHeight="1">
      <c r="F836" s="27"/>
      <c r="G836" s="27"/>
    </row>
    <row r="837" ht="15.75" customHeight="1">
      <c r="F837" s="27"/>
      <c r="G837" s="27"/>
    </row>
    <row r="838" ht="15.75" customHeight="1">
      <c r="F838" s="27"/>
      <c r="G838" s="27"/>
    </row>
    <row r="839" ht="15.75" customHeight="1">
      <c r="F839" s="27"/>
      <c r="G839" s="27"/>
    </row>
    <row r="840" ht="15.75" customHeight="1">
      <c r="F840" s="27"/>
      <c r="G840" s="27"/>
    </row>
    <row r="841" ht="15.75" customHeight="1">
      <c r="F841" s="27"/>
      <c r="G841" s="27"/>
    </row>
    <row r="842" ht="15.75" customHeight="1">
      <c r="F842" s="27"/>
      <c r="G842" s="27"/>
    </row>
    <row r="843" ht="15.75" customHeight="1">
      <c r="F843" s="27"/>
      <c r="G843" s="27"/>
    </row>
    <row r="844" ht="15.75" customHeight="1">
      <c r="F844" s="27"/>
      <c r="G844" s="27"/>
    </row>
    <row r="845" ht="15.75" customHeight="1">
      <c r="F845" s="27"/>
      <c r="G845" s="27"/>
    </row>
    <row r="846" ht="15.75" customHeight="1">
      <c r="F846" s="27"/>
      <c r="G846" s="27"/>
    </row>
    <row r="847" ht="15.75" customHeight="1">
      <c r="F847" s="27"/>
      <c r="G847" s="27"/>
    </row>
    <row r="848" ht="15.75" customHeight="1">
      <c r="F848" s="27"/>
      <c r="G848" s="27"/>
    </row>
    <row r="849" ht="15.75" customHeight="1">
      <c r="F849" s="27"/>
      <c r="G849" s="27"/>
    </row>
    <row r="850" ht="15.75" customHeight="1">
      <c r="F850" s="27"/>
      <c r="G850" s="27"/>
    </row>
    <row r="851" ht="15.75" customHeight="1">
      <c r="F851" s="27"/>
      <c r="G851" s="27"/>
    </row>
    <row r="852" ht="15.75" customHeight="1">
      <c r="F852" s="27"/>
      <c r="G852" s="27"/>
    </row>
    <row r="853" ht="15.75" customHeight="1">
      <c r="F853" s="27"/>
      <c r="G853" s="27"/>
    </row>
    <row r="854" ht="15.75" customHeight="1">
      <c r="F854" s="27"/>
      <c r="G854" s="27"/>
    </row>
    <row r="855" ht="15.75" customHeight="1">
      <c r="F855" s="27"/>
      <c r="G855" s="27"/>
    </row>
    <row r="856" ht="15.75" customHeight="1">
      <c r="F856" s="27"/>
      <c r="G856" s="27"/>
    </row>
    <row r="857" ht="15.75" customHeight="1">
      <c r="F857" s="27"/>
      <c r="G857" s="27"/>
    </row>
    <row r="858" ht="15.75" customHeight="1">
      <c r="F858" s="27"/>
      <c r="G858" s="27"/>
    </row>
    <row r="859" ht="15.75" customHeight="1">
      <c r="F859" s="27"/>
      <c r="G859" s="27"/>
    </row>
    <row r="860" ht="15.75" customHeight="1">
      <c r="F860" s="27"/>
      <c r="G860" s="27"/>
    </row>
    <row r="861" ht="15.75" customHeight="1">
      <c r="F861" s="27"/>
      <c r="G861" s="27"/>
    </row>
    <row r="862" ht="15.75" customHeight="1">
      <c r="F862" s="27"/>
      <c r="G862" s="27"/>
    </row>
    <row r="863" ht="15.75" customHeight="1">
      <c r="F863" s="27"/>
      <c r="G863" s="27"/>
    </row>
    <row r="864" ht="15.75" customHeight="1">
      <c r="F864" s="27"/>
      <c r="G864" s="27"/>
    </row>
    <row r="865" ht="15.75" customHeight="1">
      <c r="F865" s="27"/>
      <c r="G865" s="27"/>
    </row>
    <row r="866" ht="15.75" customHeight="1">
      <c r="F866" s="27"/>
      <c r="G866" s="27"/>
    </row>
    <row r="867" ht="15.75" customHeight="1">
      <c r="F867" s="27"/>
      <c r="G867" s="27"/>
    </row>
    <row r="868" ht="15.75" customHeight="1">
      <c r="F868" s="27"/>
      <c r="G868" s="27"/>
    </row>
    <row r="869" ht="15.75" customHeight="1">
      <c r="F869" s="27"/>
      <c r="G869" s="27"/>
    </row>
    <row r="870" ht="15.75" customHeight="1">
      <c r="F870" s="27"/>
      <c r="G870" s="27"/>
    </row>
    <row r="871" ht="15.75" customHeight="1">
      <c r="F871" s="27"/>
      <c r="G871" s="27"/>
    </row>
    <row r="872" ht="15.75" customHeight="1">
      <c r="F872" s="27"/>
      <c r="G872" s="27"/>
    </row>
    <row r="873" ht="15.75" customHeight="1">
      <c r="F873" s="27"/>
      <c r="G873" s="27"/>
    </row>
    <row r="874" ht="15.75" customHeight="1">
      <c r="F874" s="27"/>
      <c r="G874" s="27"/>
    </row>
    <row r="875" ht="15.75" customHeight="1">
      <c r="F875" s="27"/>
      <c r="G875" s="27"/>
    </row>
    <row r="876" ht="15.75" customHeight="1">
      <c r="F876" s="27"/>
      <c r="G876" s="27"/>
    </row>
    <row r="877" ht="15.75" customHeight="1">
      <c r="F877" s="27"/>
      <c r="G877" s="27"/>
    </row>
    <row r="878" ht="15.75" customHeight="1">
      <c r="F878" s="27"/>
      <c r="G878" s="27"/>
    </row>
    <row r="879" ht="15.75" customHeight="1">
      <c r="F879" s="27"/>
      <c r="G879" s="27"/>
    </row>
    <row r="880" ht="15.75" customHeight="1">
      <c r="F880" s="27"/>
      <c r="G880" s="27"/>
    </row>
    <row r="881" ht="15.75" customHeight="1">
      <c r="F881" s="27"/>
      <c r="G881" s="27"/>
    </row>
    <row r="882" ht="15.75" customHeight="1">
      <c r="F882" s="27"/>
      <c r="G882" s="27"/>
    </row>
    <row r="883" ht="15.75" customHeight="1">
      <c r="F883" s="27"/>
      <c r="G883" s="27"/>
    </row>
    <row r="884" ht="15.75" customHeight="1">
      <c r="F884" s="27"/>
      <c r="G884" s="27"/>
    </row>
    <row r="885" ht="15.75" customHeight="1">
      <c r="F885" s="27"/>
      <c r="G885" s="27"/>
    </row>
    <row r="886" ht="15.75" customHeight="1">
      <c r="F886" s="27"/>
      <c r="G886" s="27"/>
    </row>
    <row r="887" ht="15.75" customHeight="1">
      <c r="F887" s="27"/>
      <c r="G887" s="27"/>
    </row>
    <row r="888" ht="15.75" customHeight="1">
      <c r="F888" s="27"/>
      <c r="G888" s="27"/>
    </row>
    <row r="889" ht="15.75" customHeight="1">
      <c r="F889" s="27"/>
      <c r="G889" s="27"/>
    </row>
    <row r="890" ht="15.75" customHeight="1">
      <c r="F890" s="27"/>
      <c r="G890" s="27"/>
    </row>
    <row r="891" ht="15.75" customHeight="1">
      <c r="F891" s="27"/>
      <c r="G891" s="27"/>
    </row>
    <row r="892" ht="15.75" customHeight="1">
      <c r="F892" s="27"/>
      <c r="G892" s="27"/>
    </row>
    <row r="893" ht="15.75" customHeight="1">
      <c r="F893" s="27"/>
      <c r="G893" s="27"/>
    </row>
    <row r="894" ht="15.75" customHeight="1">
      <c r="F894" s="27"/>
      <c r="G894" s="27"/>
    </row>
    <row r="895" ht="15.75" customHeight="1">
      <c r="F895" s="27"/>
      <c r="G895" s="27"/>
    </row>
    <row r="896" ht="15.75" customHeight="1">
      <c r="F896" s="27"/>
      <c r="G896" s="27"/>
    </row>
    <row r="897" ht="15.75" customHeight="1">
      <c r="F897" s="27"/>
      <c r="G897" s="27"/>
    </row>
    <row r="898" ht="15.75" customHeight="1">
      <c r="F898" s="27"/>
      <c r="G898" s="27"/>
    </row>
    <row r="899" ht="15.75" customHeight="1">
      <c r="F899" s="27"/>
      <c r="G899" s="27"/>
    </row>
    <row r="900" ht="15.75" customHeight="1">
      <c r="F900" s="27"/>
      <c r="G900" s="27"/>
    </row>
    <row r="901" ht="15.75" customHeight="1">
      <c r="F901" s="27"/>
      <c r="G901" s="27"/>
    </row>
    <row r="902" ht="15.75" customHeight="1">
      <c r="F902" s="27"/>
      <c r="G902" s="27"/>
    </row>
    <row r="903" ht="15.75" customHeight="1">
      <c r="F903" s="27"/>
      <c r="G903" s="27"/>
    </row>
    <row r="904" ht="15.75" customHeight="1">
      <c r="F904" s="27"/>
      <c r="G904" s="27"/>
    </row>
    <row r="905" ht="15.75" customHeight="1">
      <c r="F905" s="27"/>
      <c r="G905" s="27"/>
    </row>
    <row r="906" ht="15.75" customHeight="1">
      <c r="F906" s="27"/>
      <c r="G906" s="27"/>
    </row>
    <row r="907" ht="15.75" customHeight="1">
      <c r="F907" s="27"/>
      <c r="G907" s="27"/>
    </row>
    <row r="908" ht="15.75" customHeight="1">
      <c r="F908" s="27"/>
      <c r="G908" s="27"/>
    </row>
    <row r="909" ht="15.75" customHeight="1">
      <c r="F909" s="27"/>
      <c r="G909" s="27"/>
    </row>
    <row r="910" ht="15.75" customHeight="1">
      <c r="F910" s="27"/>
      <c r="G910" s="27"/>
    </row>
    <row r="911" ht="15.75" customHeight="1">
      <c r="F911" s="27"/>
      <c r="G911" s="27"/>
    </row>
    <row r="912" ht="15.75" customHeight="1">
      <c r="F912" s="27"/>
      <c r="G912" s="27"/>
    </row>
    <row r="913" ht="15.75" customHeight="1">
      <c r="F913" s="27"/>
      <c r="G913" s="27"/>
    </row>
    <row r="914" ht="15.75" customHeight="1">
      <c r="F914" s="27"/>
      <c r="G914" s="27"/>
    </row>
    <row r="915" ht="15.75" customHeight="1">
      <c r="F915" s="27"/>
      <c r="G915" s="27"/>
    </row>
    <row r="916" ht="15.75" customHeight="1">
      <c r="F916" s="27"/>
      <c r="G916" s="27"/>
    </row>
    <row r="917" ht="15.75" customHeight="1">
      <c r="F917" s="27"/>
      <c r="G917" s="27"/>
    </row>
    <row r="918" ht="15.75" customHeight="1">
      <c r="F918" s="27"/>
      <c r="G918" s="27"/>
    </row>
    <row r="919" ht="15.75" customHeight="1">
      <c r="F919" s="27"/>
      <c r="G919" s="27"/>
    </row>
    <row r="920" ht="15.75" customHeight="1">
      <c r="F920" s="27"/>
      <c r="G920" s="27"/>
    </row>
    <row r="921" ht="15.75" customHeight="1">
      <c r="F921" s="27"/>
      <c r="G921" s="27"/>
    </row>
    <row r="922" ht="15.75" customHeight="1">
      <c r="F922" s="27"/>
      <c r="G922" s="27"/>
    </row>
    <row r="923" ht="15.75" customHeight="1">
      <c r="F923" s="27"/>
      <c r="G923" s="27"/>
    </row>
    <row r="924" ht="15.75" customHeight="1">
      <c r="F924" s="27"/>
      <c r="G924" s="27"/>
    </row>
    <row r="925" ht="15.75" customHeight="1">
      <c r="F925" s="27"/>
      <c r="G925" s="27"/>
    </row>
    <row r="926" ht="15.75" customHeight="1">
      <c r="F926" s="27"/>
      <c r="G926" s="27"/>
    </row>
    <row r="927" ht="15.75" customHeight="1">
      <c r="F927" s="27"/>
      <c r="G927" s="27"/>
    </row>
    <row r="928" ht="15.75" customHeight="1">
      <c r="F928" s="27"/>
      <c r="G928" s="27"/>
    </row>
    <row r="929" ht="15.75" customHeight="1">
      <c r="F929" s="27"/>
      <c r="G929" s="27"/>
    </row>
    <row r="930" ht="15.75" customHeight="1">
      <c r="F930" s="27"/>
      <c r="G930" s="27"/>
    </row>
    <row r="931" ht="15.75" customHeight="1">
      <c r="F931" s="27"/>
      <c r="G931" s="27"/>
    </row>
    <row r="932" ht="15.75" customHeight="1">
      <c r="F932" s="27"/>
      <c r="G932" s="27"/>
    </row>
    <row r="933" ht="15.75" customHeight="1">
      <c r="F933" s="27"/>
      <c r="G933" s="27"/>
    </row>
    <row r="934" ht="15.75" customHeight="1">
      <c r="F934" s="27"/>
      <c r="G934" s="27"/>
    </row>
    <row r="935" ht="15.75" customHeight="1">
      <c r="F935" s="27"/>
      <c r="G935" s="27"/>
    </row>
    <row r="936" ht="15.75" customHeight="1">
      <c r="F936" s="27"/>
      <c r="G936" s="27"/>
    </row>
    <row r="937" ht="15.75" customHeight="1">
      <c r="F937" s="27"/>
      <c r="G937" s="27"/>
    </row>
    <row r="938" ht="15.75" customHeight="1">
      <c r="F938" s="27"/>
      <c r="G938" s="27"/>
    </row>
    <row r="939" ht="15.75" customHeight="1">
      <c r="F939" s="27"/>
      <c r="G939" s="27"/>
    </row>
    <row r="940" ht="15.75" customHeight="1">
      <c r="F940" s="27"/>
      <c r="G940" s="27"/>
    </row>
    <row r="941" ht="15.75" customHeight="1">
      <c r="F941" s="27"/>
      <c r="G941" s="27"/>
    </row>
    <row r="942" ht="15.75" customHeight="1">
      <c r="F942" s="27"/>
      <c r="G942" s="27"/>
    </row>
    <row r="943" ht="15.75" customHeight="1">
      <c r="F943" s="27"/>
      <c r="G943" s="27"/>
    </row>
    <row r="944" ht="15.75" customHeight="1">
      <c r="F944" s="27"/>
      <c r="G944" s="27"/>
    </row>
    <row r="945" ht="15.75" customHeight="1">
      <c r="F945" s="27"/>
      <c r="G945" s="27"/>
    </row>
    <row r="946" ht="15.75" customHeight="1">
      <c r="F946" s="27"/>
      <c r="G946" s="27"/>
    </row>
    <row r="947" ht="15.75" customHeight="1">
      <c r="F947" s="27"/>
      <c r="G947" s="27"/>
    </row>
    <row r="948" ht="15.75" customHeight="1">
      <c r="F948" s="27"/>
      <c r="G948" s="27"/>
    </row>
    <row r="949" ht="15.75" customHeight="1">
      <c r="F949" s="27"/>
      <c r="G949" s="27"/>
    </row>
    <row r="950" ht="15.75" customHeight="1">
      <c r="F950" s="27"/>
      <c r="G950" s="27"/>
    </row>
    <row r="951" ht="15.75" customHeight="1">
      <c r="F951" s="27"/>
      <c r="G951" s="27"/>
    </row>
    <row r="952" ht="15.75" customHeight="1">
      <c r="F952" s="27"/>
      <c r="G952" s="27"/>
    </row>
    <row r="953" ht="15.75" customHeight="1">
      <c r="F953" s="27"/>
      <c r="G953" s="27"/>
    </row>
    <row r="954" ht="15.75" customHeight="1">
      <c r="F954" s="27"/>
      <c r="G954" s="27"/>
    </row>
    <row r="955" ht="15.75" customHeight="1">
      <c r="F955" s="27"/>
      <c r="G955" s="27"/>
    </row>
    <row r="956" ht="15.75" customHeight="1">
      <c r="F956" s="27"/>
      <c r="G956" s="27"/>
    </row>
    <row r="957" ht="15.75" customHeight="1">
      <c r="F957" s="27"/>
      <c r="G957" s="27"/>
    </row>
    <row r="958" ht="15.75" customHeight="1">
      <c r="F958" s="27"/>
      <c r="G958" s="27"/>
    </row>
    <row r="959" ht="15.75" customHeight="1">
      <c r="F959" s="27"/>
      <c r="G959" s="27"/>
    </row>
    <row r="960" ht="15.75" customHeight="1">
      <c r="F960" s="27"/>
      <c r="G960" s="27"/>
    </row>
    <row r="961" ht="15.75" customHeight="1">
      <c r="F961" s="27"/>
      <c r="G961" s="27"/>
    </row>
    <row r="962" ht="15.75" customHeight="1">
      <c r="F962" s="27"/>
      <c r="G962" s="27"/>
    </row>
    <row r="963" ht="15.75" customHeight="1">
      <c r="F963" s="27"/>
      <c r="G963" s="27"/>
    </row>
    <row r="964" ht="15.75" customHeight="1">
      <c r="F964" s="27"/>
      <c r="G964" s="27"/>
    </row>
    <row r="965" ht="15.75" customHeight="1">
      <c r="F965" s="27"/>
      <c r="G965" s="27"/>
    </row>
    <row r="966" ht="15.75" customHeight="1">
      <c r="F966" s="27"/>
      <c r="G966" s="27"/>
    </row>
    <row r="967" ht="15.75" customHeight="1">
      <c r="F967" s="27"/>
      <c r="G967" s="27"/>
    </row>
    <row r="968" ht="15.75" customHeight="1">
      <c r="F968" s="27"/>
      <c r="G968" s="27"/>
    </row>
    <row r="969" ht="15.75" customHeight="1">
      <c r="F969" s="27"/>
      <c r="G969" s="27"/>
    </row>
    <row r="970" ht="15.75" customHeight="1">
      <c r="F970" s="27"/>
      <c r="G970" s="27"/>
    </row>
    <row r="971" ht="15.75" customHeight="1">
      <c r="F971" s="27"/>
      <c r="G971" s="27"/>
    </row>
    <row r="972" ht="15.75" customHeight="1">
      <c r="F972" s="27"/>
      <c r="G972" s="27"/>
    </row>
    <row r="973" ht="15.75" customHeight="1">
      <c r="F973" s="27"/>
      <c r="G973" s="27"/>
    </row>
    <row r="974" ht="15.75" customHeight="1">
      <c r="F974" s="27"/>
      <c r="G974" s="27"/>
    </row>
    <row r="975" ht="15.75" customHeight="1">
      <c r="F975" s="27"/>
      <c r="G975" s="27"/>
    </row>
    <row r="976" ht="15.75" customHeight="1">
      <c r="F976" s="27"/>
      <c r="G976" s="27"/>
    </row>
    <row r="977" ht="15.75" customHeight="1">
      <c r="F977" s="27"/>
      <c r="G977" s="27"/>
    </row>
    <row r="978" ht="15.75" customHeight="1">
      <c r="F978" s="27"/>
      <c r="G978" s="27"/>
    </row>
    <row r="979" ht="15.75" customHeight="1">
      <c r="F979" s="27"/>
      <c r="G979" s="27"/>
    </row>
    <row r="980" ht="15.75" customHeight="1">
      <c r="F980" s="27"/>
      <c r="G980" s="27"/>
    </row>
    <row r="981" ht="15.75" customHeight="1">
      <c r="F981" s="27"/>
      <c r="G981" s="27"/>
    </row>
    <row r="982" ht="15.75" customHeight="1">
      <c r="F982" s="27"/>
      <c r="G982" s="27"/>
    </row>
    <row r="983" ht="15.75" customHeight="1">
      <c r="F983" s="27"/>
      <c r="G983" s="27"/>
    </row>
    <row r="984" ht="15.75" customHeight="1">
      <c r="F984" s="27"/>
      <c r="G984" s="27"/>
    </row>
    <row r="985" ht="15.75" customHeight="1">
      <c r="F985" s="27"/>
      <c r="G985" s="27"/>
    </row>
    <row r="986" ht="15.75" customHeight="1">
      <c r="F986" s="27"/>
      <c r="G986" s="27"/>
    </row>
    <row r="987" ht="15.75" customHeight="1">
      <c r="F987" s="27"/>
      <c r="G987" s="27"/>
    </row>
    <row r="988" ht="15.75" customHeight="1">
      <c r="F988" s="27"/>
      <c r="G988" s="27"/>
    </row>
    <row r="989" ht="15.75" customHeight="1">
      <c r="F989" s="27"/>
      <c r="G989" s="27"/>
    </row>
    <row r="990" ht="15.75" customHeight="1">
      <c r="F990" s="27"/>
      <c r="G990" s="27"/>
    </row>
    <row r="991" ht="15.75" customHeight="1">
      <c r="F991" s="27"/>
      <c r="G991" s="27"/>
    </row>
    <row r="992" ht="15.75" customHeight="1">
      <c r="F992" s="27"/>
      <c r="G992" s="27"/>
    </row>
    <row r="993" ht="15.75" customHeight="1">
      <c r="F993" s="27"/>
      <c r="G993" s="27"/>
    </row>
    <row r="994" ht="15.75" customHeight="1">
      <c r="F994" s="27"/>
      <c r="G994" s="27"/>
    </row>
    <row r="995" ht="15.75" customHeight="1">
      <c r="F995" s="27"/>
      <c r="G995" s="27"/>
    </row>
    <row r="996" ht="15.75" customHeight="1">
      <c r="F996" s="27"/>
      <c r="G996" s="27"/>
    </row>
    <row r="997" ht="15.75" customHeight="1">
      <c r="F997" s="27"/>
      <c r="G997" s="27"/>
    </row>
    <row r="998" ht="15.75" customHeight="1">
      <c r="F998" s="27"/>
      <c r="G998" s="27"/>
    </row>
    <row r="999" ht="15.75" customHeight="1">
      <c r="F999" s="27"/>
      <c r="G999" s="27"/>
    </row>
    <row r="1000" ht="15.75" customHeight="1">
      <c r="F1000" s="27"/>
      <c r="G1000" s="2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5"/>
    <col customWidth="1" min="2" max="2" width="14.88"/>
    <col customWidth="1" min="3" max="4" width="27.0"/>
    <col customWidth="1" min="5" max="5" width="21.38"/>
    <col customWidth="1" min="6" max="6" width="48.88"/>
    <col customWidth="1" min="7" max="7" width="15.13"/>
    <col customWidth="1" min="8" max="11" width="11.13"/>
    <col customWidth="1" min="12" max="12" width="8.75"/>
    <col customWidth="1" min="13" max="13" width="86.38"/>
    <col customWidth="1" min="14" max="26" width="11.13"/>
  </cols>
  <sheetData>
    <row r="1" ht="15.75" customHeight="1">
      <c r="A1" s="39"/>
      <c r="B1" s="40" t="s">
        <v>278</v>
      </c>
      <c r="C1" s="40" t="s">
        <v>1</v>
      </c>
      <c r="D1" s="40" t="s">
        <v>2</v>
      </c>
      <c r="E1" s="40" t="s">
        <v>279</v>
      </c>
      <c r="F1" s="40" t="s">
        <v>280</v>
      </c>
      <c r="G1" s="40" t="s">
        <v>281</v>
      </c>
      <c r="H1" s="40" t="s">
        <v>282</v>
      </c>
      <c r="I1" s="41" t="s">
        <v>283</v>
      </c>
      <c r="J1" s="41" t="s">
        <v>9</v>
      </c>
      <c r="K1" s="40" t="s">
        <v>284</v>
      </c>
      <c r="L1" s="41" t="s">
        <v>285</v>
      </c>
      <c r="M1" s="40" t="s">
        <v>286</v>
      </c>
      <c r="O1" s="4" t="s">
        <v>11</v>
      </c>
    </row>
    <row r="2" ht="15.75" customHeight="1">
      <c r="A2" s="42">
        <v>46056.0</v>
      </c>
      <c r="B2" s="43" t="s">
        <v>39</v>
      </c>
      <c r="C2" s="43"/>
      <c r="D2" s="43"/>
      <c r="E2" s="43" t="s">
        <v>130</v>
      </c>
      <c r="F2" s="44" t="s">
        <v>287</v>
      </c>
      <c r="G2" s="43" t="s">
        <v>288</v>
      </c>
      <c r="H2" s="43"/>
      <c r="I2" s="45"/>
      <c r="J2" s="45"/>
      <c r="K2" s="43"/>
      <c r="L2" s="45"/>
      <c r="M2" s="46" t="s">
        <v>289</v>
      </c>
    </row>
    <row r="3" ht="15.75" customHeight="1">
      <c r="A3" s="47">
        <v>46056.0</v>
      </c>
      <c r="B3" s="48" t="s">
        <v>290</v>
      </c>
      <c r="C3" s="48"/>
      <c r="D3" s="48"/>
      <c r="E3" s="48" t="s">
        <v>133</v>
      </c>
      <c r="F3" s="49" t="s">
        <v>291</v>
      </c>
      <c r="G3" s="48" t="s">
        <v>292</v>
      </c>
      <c r="H3" s="48" t="s">
        <v>15</v>
      </c>
      <c r="I3" s="50">
        <v>54990.0</v>
      </c>
      <c r="J3" s="50"/>
      <c r="K3" s="48" t="s">
        <v>293</v>
      </c>
      <c r="L3" s="51">
        <v>46059.0</v>
      </c>
      <c r="M3" s="49"/>
    </row>
    <row r="4" ht="15.75" customHeight="1">
      <c r="A4" s="42">
        <v>46056.0</v>
      </c>
      <c r="B4" s="43" t="s">
        <v>12</v>
      </c>
      <c r="C4" s="43"/>
      <c r="D4" s="43"/>
      <c r="E4" s="43" t="s">
        <v>149</v>
      </c>
      <c r="F4" s="44" t="s">
        <v>294</v>
      </c>
      <c r="G4" s="43" t="s">
        <v>295</v>
      </c>
      <c r="H4" s="43"/>
      <c r="I4" s="45"/>
      <c r="J4" s="45"/>
      <c r="K4" s="43"/>
      <c r="L4" s="45"/>
      <c r="M4" s="52" t="s">
        <v>296</v>
      </c>
    </row>
    <row r="5" ht="15.75" customHeight="1">
      <c r="A5" s="42">
        <v>46056.0</v>
      </c>
      <c r="B5" s="48" t="s">
        <v>297</v>
      </c>
      <c r="C5" s="48"/>
      <c r="D5" s="48"/>
      <c r="E5" s="48" t="s">
        <v>130</v>
      </c>
      <c r="F5" s="49" t="s">
        <v>298</v>
      </c>
      <c r="G5" s="48" t="s">
        <v>292</v>
      </c>
      <c r="H5" s="48" t="s">
        <v>15</v>
      </c>
      <c r="I5" s="50">
        <v>54990.0</v>
      </c>
      <c r="J5" s="50"/>
      <c r="K5" s="48" t="s">
        <v>299</v>
      </c>
      <c r="L5" s="51">
        <v>46057.0</v>
      </c>
      <c r="M5" s="49"/>
    </row>
    <row r="6" ht="15.75" customHeight="1">
      <c r="A6" s="42">
        <v>46056.0</v>
      </c>
      <c r="B6" s="43" t="s">
        <v>300</v>
      </c>
      <c r="C6" s="43"/>
      <c r="D6" s="43"/>
      <c r="E6" s="43" t="s">
        <v>130</v>
      </c>
      <c r="F6" s="44" t="s">
        <v>301</v>
      </c>
      <c r="G6" s="43" t="s">
        <v>295</v>
      </c>
      <c r="H6" s="43"/>
      <c r="I6" s="45"/>
      <c r="J6" s="45"/>
      <c r="K6" s="43"/>
      <c r="L6" s="45"/>
      <c r="M6" s="52" t="s">
        <v>302</v>
      </c>
    </row>
    <row r="7" ht="15.75" customHeight="1">
      <c r="A7" s="47">
        <v>46056.0</v>
      </c>
      <c r="B7" s="53" t="s">
        <v>303</v>
      </c>
      <c r="C7" s="48"/>
      <c r="D7" s="48"/>
      <c r="E7" s="48" t="s">
        <v>133</v>
      </c>
      <c r="F7" s="49" t="s">
        <v>304</v>
      </c>
      <c r="G7" s="48" t="s">
        <v>292</v>
      </c>
      <c r="H7" s="48" t="s">
        <v>37</v>
      </c>
      <c r="I7" s="50">
        <v>34990.0</v>
      </c>
      <c r="J7" s="50"/>
      <c r="K7" s="48" t="s">
        <v>299</v>
      </c>
      <c r="L7" s="51">
        <v>46059.0</v>
      </c>
      <c r="M7" s="49"/>
    </row>
    <row r="8" ht="15.75" customHeight="1">
      <c r="A8" s="42">
        <v>46056.0</v>
      </c>
      <c r="B8" s="54" t="s">
        <v>305</v>
      </c>
      <c r="C8" s="43"/>
      <c r="D8" s="43"/>
      <c r="E8" s="43" t="s">
        <v>126</v>
      </c>
      <c r="F8" s="44" t="s">
        <v>306</v>
      </c>
      <c r="G8" s="43" t="s">
        <v>295</v>
      </c>
      <c r="H8" s="43"/>
      <c r="I8" s="45"/>
      <c r="J8" s="45"/>
      <c r="K8" s="43"/>
      <c r="L8" s="45"/>
      <c r="M8" s="52" t="s">
        <v>307</v>
      </c>
    </row>
    <row r="9" ht="15.75" customHeight="1">
      <c r="A9" s="47">
        <v>46056.0</v>
      </c>
      <c r="B9" s="48" t="s">
        <v>71</v>
      </c>
      <c r="C9" s="48"/>
      <c r="D9" s="48"/>
      <c r="E9" s="48" t="s">
        <v>270</v>
      </c>
      <c r="F9" s="49" t="s">
        <v>308</v>
      </c>
      <c r="G9" s="48" t="s">
        <v>292</v>
      </c>
      <c r="H9" s="48" t="s">
        <v>15</v>
      </c>
      <c r="I9" s="50">
        <v>54990.0</v>
      </c>
      <c r="J9" s="50"/>
      <c r="K9" s="48" t="s">
        <v>299</v>
      </c>
      <c r="L9" s="51">
        <v>46059.0</v>
      </c>
      <c r="M9" s="49"/>
    </row>
    <row r="10" ht="15.75" customHeight="1">
      <c r="A10" s="47">
        <v>46056.0</v>
      </c>
      <c r="B10" s="48" t="s">
        <v>137</v>
      </c>
      <c r="C10" s="48"/>
      <c r="D10" s="48"/>
      <c r="E10" s="48" t="s">
        <v>130</v>
      </c>
      <c r="F10" s="49" t="s">
        <v>309</v>
      </c>
      <c r="G10" s="48" t="s">
        <v>292</v>
      </c>
      <c r="H10" s="48" t="s">
        <v>15</v>
      </c>
      <c r="I10" s="50">
        <v>54990.0</v>
      </c>
      <c r="J10" s="50"/>
      <c r="K10" s="48" t="s">
        <v>299</v>
      </c>
      <c r="L10" s="51">
        <v>46059.0</v>
      </c>
      <c r="M10" s="49"/>
    </row>
    <row r="11" ht="15.75" customHeight="1">
      <c r="A11" s="55">
        <v>46056.0</v>
      </c>
      <c r="B11" s="56" t="s">
        <v>12</v>
      </c>
      <c r="C11" s="56"/>
      <c r="D11" s="56"/>
      <c r="E11" s="56" t="s">
        <v>310</v>
      </c>
      <c r="F11" s="52" t="s">
        <v>311</v>
      </c>
      <c r="G11" s="56"/>
      <c r="H11" s="56"/>
      <c r="I11" s="57"/>
      <c r="J11" s="57"/>
      <c r="K11" s="56"/>
      <c r="L11" s="57"/>
      <c r="M11" s="52" t="s">
        <v>312</v>
      </c>
    </row>
    <row r="12" ht="15.75" customHeight="1">
      <c r="A12" s="47">
        <v>46056.0</v>
      </c>
      <c r="B12" s="48" t="s">
        <v>102</v>
      </c>
      <c r="C12" s="48"/>
      <c r="D12" s="58"/>
      <c r="E12" s="59" t="s">
        <v>313</v>
      </c>
      <c r="F12" s="49" t="s">
        <v>314</v>
      </c>
      <c r="G12" s="48" t="s">
        <v>292</v>
      </c>
      <c r="H12" s="48" t="s">
        <v>15</v>
      </c>
      <c r="I12" s="50">
        <v>54990.0</v>
      </c>
      <c r="J12" s="50"/>
      <c r="K12" s="48" t="s">
        <v>299</v>
      </c>
      <c r="L12" s="51">
        <v>46058.0</v>
      </c>
      <c r="M12" s="49"/>
    </row>
    <row r="13" ht="15.75" customHeight="1">
      <c r="A13" s="47">
        <v>46056.0</v>
      </c>
      <c r="B13" s="48" t="s">
        <v>29</v>
      </c>
      <c r="C13" s="48"/>
      <c r="D13" s="48"/>
      <c r="E13" s="48" t="s">
        <v>130</v>
      </c>
      <c r="F13" s="49" t="s">
        <v>315</v>
      </c>
      <c r="G13" s="48" t="s">
        <v>292</v>
      </c>
      <c r="H13" s="48" t="s">
        <v>15</v>
      </c>
      <c r="I13" s="60">
        <v>54990.0</v>
      </c>
      <c r="J13" s="60"/>
      <c r="K13" s="48" t="s">
        <v>299</v>
      </c>
      <c r="L13" s="60"/>
      <c r="M13" s="49"/>
    </row>
    <row r="14" ht="15.75" customHeight="1">
      <c r="A14" s="42">
        <v>46057.0</v>
      </c>
      <c r="B14" s="61" t="s">
        <v>316</v>
      </c>
      <c r="C14" s="61"/>
      <c r="D14" s="61"/>
      <c r="E14" s="61" t="s">
        <v>126</v>
      </c>
      <c r="F14" s="62" t="s">
        <v>317</v>
      </c>
      <c r="G14" s="43" t="s">
        <v>288</v>
      </c>
      <c r="H14" s="43"/>
      <c r="I14" s="9"/>
      <c r="J14" s="9"/>
      <c r="K14" s="43"/>
      <c r="L14" s="9"/>
      <c r="M14" s="46" t="s">
        <v>318</v>
      </c>
      <c r="O14" s="1" t="s">
        <v>157</v>
      </c>
    </row>
    <row r="15" ht="15.75" customHeight="1">
      <c r="A15" s="63">
        <v>46057.0</v>
      </c>
      <c r="B15" s="64" t="s">
        <v>319</v>
      </c>
      <c r="C15" s="65"/>
      <c r="D15" s="65"/>
      <c r="E15" s="65"/>
      <c r="F15" s="66"/>
      <c r="G15" s="65" t="s">
        <v>320</v>
      </c>
      <c r="H15" s="65"/>
      <c r="I15" s="67"/>
      <c r="J15" s="67"/>
      <c r="K15" s="65"/>
      <c r="L15" s="67"/>
      <c r="M15" s="66" t="s">
        <v>321</v>
      </c>
    </row>
    <row r="16" ht="15.75" customHeight="1">
      <c r="A16" s="42">
        <v>46057.0</v>
      </c>
      <c r="B16" s="68" t="s">
        <v>56</v>
      </c>
      <c r="C16" s="68"/>
      <c r="D16" s="68"/>
      <c r="E16" s="68"/>
      <c r="F16" s="69"/>
      <c r="G16" s="43" t="s">
        <v>322</v>
      </c>
      <c r="H16" s="43"/>
      <c r="I16" s="9"/>
      <c r="J16" s="9"/>
      <c r="K16" s="43"/>
      <c r="L16" s="45"/>
      <c r="M16" s="70" t="s">
        <v>323</v>
      </c>
    </row>
    <row r="17" ht="31.5" customHeight="1">
      <c r="A17" s="55">
        <v>46057.0</v>
      </c>
      <c r="B17" s="56" t="s">
        <v>81</v>
      </c>
      <c r="C17" s="56"/>
      <c r="D17" s="56"/>
      <c r="E17" s="56" t="s">
        <v>249</v>
      </c>
      <c r="F17" s="52" t="s">
        <v>324</v>
      </c>
      <c r="G17" s="56"/>
      <c r="H17" s="56"/>
      <c r="I17" s="71"/>
      <c r="J17" s="71"/>
      <c r="K17" s="56"/>
      <c r="L17" s="71"/>
      <c r="M17" s="72" t="s">
        <v>325</v>
      </c>
    </row>
    <row r="18" ht="15.75" customHeight="1">
      <c r="A18" s="42">
        <v>46056.0</v>
      </c>
      <c r="B18" s="54" t="s">
        <v>84</v>
      </c>
      <c r="C18" s="43"/>
      <c r="D18" s="43"/>
      <c r="E18" s="43" t="s">
        <v>133</v>
      </c>
      <c r="F18" s="44" t="s">
        <v>326</v>
      </c>
      <c r="G18" s="43" t="s">
        <v>292</v>
      </c>
      <c r="H18" s="43" t="s">
        <v>15</v>
      </c>
      <c r="I18" s="45">
        <v>54990.0</v>
      </c>
      <c r="J18" s="45"/>
      <c r="K18" s="43" t="s">
        <v>293</v>
      </c>
      <c r="L18" s="73">
        <v>46058.0</v>
      </c>
      <c r="M18" s="74"/>
    </row>
    <row r="19" ht="15.75" customHeight="1">
      <c r="A19" s="55">
        <v>46056.0</v>
      </c>
      <c r="B19" s="75" t="s">
        <v>327</v>
      </c>
      <c r="C19" s="75"/>
      <c r="D19" s="75"/>
      <c r="E19" s="75" t="s">
        <v>328</v>
      </c>
      <c r="F19" s="76" t="s">
        <v>329</v>
      </c>
      <c r="G19" s="56"/>
      <c r="H19" s="56"/>
      <c r="I19" s="57"/>
      <c r="J19" s="57"/>
      <c r="K19" s="56"/>
      <c r="L19" s="57"/>
      <c r="M19" s="72" t="s">
        <v>330</v>
      </c>
    </row>
    <row r="20" ht="15.75" customHeight="1">
      <c r="A20" s="55">
        <v>46057.0</v>
      </c>
      <c r="B20" s="56" t="s">
        <v>12</v>
      </c>
      <c r="C20" s="56"/>
      <c r="D20" s="56"/>
      <c r="E20" s="56" t="s">
        <v>126</v>
      </c>
      <c r="F20" s="52" t="s">
        <v>331</v>
      </c>
      <c r="G20" s="56" t="s">
        <v>295</v>
      </c>
      <c r="H20" s="56"/>
      <c r="I20" s="57"/>
      <c r="J20" s="57"/>
      <c r="K20" s="56"/>
      <c r="L20" s="57"/>
      <c r="M20" s="72" t="s">
        <v>332</v>
      </c>
    </row>
    <row r="21" ht="15.75" customHeight="1">
      <c r="A21" s="42">
        <v>46057.0</v>
      </c>
      <c r="B21" s="61" t="s">
        <v>333</v>
      </c>
      <c r="C21" s="61"/>
      <c r="D21" s="61"/>
      <c r="E21" s="61" t="s">
        <v>133</v>
      </c>
      <c r="F21" s="62" t="s">
        <v>334</v>
      </c>
      <c r="G21" s="43" t="s">
        <v>292</v>
      </c>
      <c r="H21" s="43" t="s">
        <v>335</v>
      </c>
      <c r="I21" s="45">
        <v>71990.0</v>
      </c>
      <c r="J21" s="45"/>
      <c r="K21" s="43" t="s">
        <v>293</v>
      </c>
      <c r="L21" s="73">
        <v>46058.0</v>
      </c>
      <c r="M21" s="77"/>
    </row>
    <row r="22" ht="15.75" customHeight="1">
      <c r="A22" s="55">
        <v>46057.0</v>
      </c>
      <c r="B22" s="56" t="s">
        <v>71</v>
      </c>
      <c r="C22" s="56"/>
      <c r="D22" s="56"/>
      <c r="E22" s="56"/>
      <c r="F22" s="52"/>
      <c r="G22" s="56" t="s">
        <v>295</v>
      </c>
      <c r="H22" s="56"/>
      <c r="I22" s="57"/>
      <c r="J22" s="57"/>
      <c r="K22" s="56"/>
      <c r="L22" s="57"/>
      <c r="M22" s="52" t="s">
        <v>336</v>
      </c>
      <c r="N22" s="1" t="s">
        <v>337</v>
      </c>
    </row>
    <row r="23" ht="15.75" customHeight="1">
      <c r="A23" s="55">
        <v>46057.0</v>
      </c>
      <c r="B23" s="56" t="s">
        <v>338</v>
      </c>
      <c r="C23" s="56"/>
      <c r="D23" s="56"/>
      <c r="E23" s="56" t="s">
        <v>339</v>
      </c>
      <c r="F23" s="52"/>
      <c r="G23" s="56"/>
      <c r="H23" s="56"/>
      <c r="I23" s="57"/>
      <c r="J23" s="57"/>
      <c r="K23" s="56"/>
      <c r="L23" s="57"/>
      <c r="M23" s="52" t="s">
        <v>340</v>
      </c>
    </row>
    <row r="24" ht="15.75" customHeight="1">
      <c r="A24" s="42">
        <v>46057.0</v>
      </c>
      <c r="B24" s="43" t="s">
        <v>12</v>
      </c>
      <c r="C24" s="43"/>
      <c r="D24" s="43"/>
      <c r="E24" s="43" t="s">
        <v>270</v>
      </c>
      <c r="F24" s="44" t="s">
        <v>341</v>
      </c>
      <c r="G24" s="43" t="s">
        <v>288</v>
      </c>
      <c r="H24" s="43"/>
      <c r="I24" s="45"/>
      <c r="J24" s="45"/>
      <c r="K24" s="43"/>
      <c r="L24" s="45"/>
      <c r="M24" s="46" t="s">
        <v>342</v>
      </c>
      <c r="O24" s="1" t="s">
        <v>157</v>
      </c>
    </row>
    <row r="25" ht="15.75" customHeight="1">
      <c r="A25" s="78">
        <v>46057.0</v>
      </c>
      <c r="B25" s="79" t="s">
        <v>110</v>
      </c>
      <c r="C25" s="80"/>
      <c r="D25" s="80"/>
      <c r="E25" s="80" t="s">
        <v>122</v>
      </c>
      <c r="F25" s="19" t="s">
        <v>343</v>
      </c>
      <c r="G25" s="56"/>
      <c r="H25" s="56"/>
      <c r="I25" s="57"/>
      <c r="J25" s="57"/>
      <c r="K25" s="56"/>
      <c r="L25" s="80"/>
      <c r="M25" s="19" t="s">
        <v>344</v>
      </c>
    </row>
    <row r="26" ht="15.75" customHeight="1">
      <c r="A26" s="28">
        <v>46057.0</v>
      </c>
      <c r="B26" s="1" t="s">
        <v>102</v>
      </c>
      <c r="C26" s="58"/>
      <c r="D26" s="58"/>
      <c r="E26" s="58" t="s">
        <v>126</v>
      </c>
      <c r="F26" s="81" t="s">
        <v>345</v>
      </c>
      <c r="G26" s="48" t="s">
        <v>292</v>
      </c>
      <c r="H26" s="48" t="s">
        <v>37</v>
      </c>
      <c r="I26" s="50">
        <v>31990.0</v>
      </c>
      <c r="J26" s="50"/>
      <c r="K26" s="48" t="s">
        <v>293</v>
      </c>
      <c r="L26" s="58"/>
      <c r="M26" s="81"/>
    </row>
    <row r="27" ht="15.75" customHeight="1">
      <c r="A27" s="28">
        <v>46057.0</v>
      </c>
      <c r="B27" s="1" t="s">
        <v>90</v>
      </c>
      <c r="C27" s="1"/>
      <c r="D27" s="1"/>
      <c r="E27" s="1" t="s">
        <v>126</v>
      </c>
      <c r="F27" s="2" t="s">
        <v>346</v>
      </c>
      <c r="G27" s="43" t="s">
        <v>347</v>
      </c>
      <c r="H27" s="43"/>
      <c r="I27" s="45"/>
      <c r="J27" s="45"/>
      <c r="K27" s="43"/>
      <c r="M27" s="82" t="s">
        <v>348</v>
      </c>
    </row>
    <row r="28" ht="15.75" customHeight="1">
      <c r="A28" s="83">
        <v>46057.0</v>
      </c>
      <c r="B28" s="58" t="s">
        <v>90</v>
      </c>
      <c r="C28" s="58"/>
      <c r="D28" s="58"/>
      <c r="E28" s="58" t="s">
        <v>149</v>
      </c>
      <c r="F28" s="81" t="s">
        <v>349</v>
      </c>
      <c r="G28" s="48" t="s">
        <v>292</v>
      </c>
      <c r="H28" s="48" t="s">
        <v>15</v>
      </c>
      <c r="I28" s="50">
        <v>54990.0</v>
      </c>
      <c r="J28" s="50"/>
      <c r="K28" s="48" t="s">
        <v>299</v>
      </c>
      <c r="L28" s="84">
        <v>46059.0</v>
      </c>
      <c r="M28" s="81"/>
    </row>
    <row r="29" ht="15.75" customHeight="1">
      <c r="A29" s="28">
        <v>46057.0</v>
      </c>
      <c r="B29" s="1" t="s">
        <v>195</v>
      </c>
      <c r="C29" s="1"/>
      <c r="D29" s="1"/>
      <c r="E29" s="1" t="s">
        <v>130</v>
      </c>
      <c r="F29" s="2" t="s">
        <v>350</v>
      </c>
      <c r="G29" s="43" t="s">
        <v>288</v>
      </c>
      <c r="H29" s="43"/>
      <c r="I29" s="45"/>
      <c r="J29" s="45"/>
      <c r="K29" s="43"/>
      <c r="M29" s="85" t="s">
        <v>351</v>
      </c>
    </row>
    <row r="30" ht="15.75" customHeight="1">
      <c r="A30" s="86">
        <v>46057.0</v>
      </c>
      <c r="B30" s="87" t="s">
        <v>352</v>
      </c>
      <c r="C30" s="87"/>
      <c r="D30" s="87"/>
      <c r="E30" s="87" t="s">
        <v>249</v>
      </c>
      <c r="F30" s="85" t="s">
        <v>353</v>
      </c>
      <c r="G30" s="65" t="s">
        <v>288</v>
      </c>
      <c r="H30" s="65"/>
      <c r="I30" s="67"/>
      <c r="J30" s="67"/>
      <c r="K30" s="65"/>
      <c r="L30" s="87"/>
      <c r="M30" s="85" t="s">
        <v>354</v>
      </c>
    </row>
    <row r="31" ht="15.75" customHeight="1">
      <c r="A31" s="28">
        <v>46057.0</v>
      </c>
      <c r="B31" s="1" t="s">
        <v>84</v>
      </c>
      <c r="C31" s="1"/>
      <c r="D31" s="1"/>
      <c r="E31" s="1" t="s">
        <v>130</v>
      </c>
      <c r="F31" s="2" t="s">
        <v>355</v>
      </c>
      <c r="G31" s="43" t="s">
        <v>288</v>
      </c>
      <c r="H31" s="43"/>
      <c r="I31" s="45"/>
      <c r="J31" s="45"/>
      <c r="K31" s="43"/>
      <c r="M31" s="88" t="s">
        <v>356</v>
      </c>
      <c r="O31" s="1">
        <v>2.0</v>
      </c>
    </row>
    <row r="32" ht="15.75" customHeight="1">
      <c r="A32" s="78">
        <v>46058.0</v>
      </c>
      <c r="B32" s="80" t="s">
        <v>137</v>
      </c>
      <c r="C32" s="80"/>
      <c r="D32" s="80"/>
      <c r="E32" s="80" t="s">
        <v>130</v>
      </c>
      <c r="F32" s="19" t="s">
        <v>357</v>
      </c>
      <c r="G32" s="56"/>
      <c r="H32" s="56"/>
      <c r="I32" s="57"/>
      <c r="J32" s="57"/>
      <c r="K32" s="56"/>
      <c r="L32" s="80"/>
      <c r="M32" s="19" t="s">
        <v>358</v>
      </c>
      <c r="O32" s="1" t="s">
        <v>157</v>
      </c>
    </row>
    <row r="33" ht="15.75" customHeight="1">
      <c r="A33" s="28">
        <v>46058.0</v>
      </c>
      <c r="B33" s="1" t="s">
        <v>327</v>
      </c>
      <c r="C33" s="1"/>
      <c r="D33" s="1"/>
      <c r="E33" s="1" t="s">
        <v>126</v>
      </c>
      <c r="F33" s="2" t="s">
        <v>359</v>
      </c>
      <c r="G33" s="43" t="s">
        <v>322</v>
      </c>
      <c r="H33" s="43"/>
      <c r="I33" s="45"/>
      <c r="J33" s="45"/>
      <c r="K33" s="43"/>
      <c r="M33" s="89" t="s">
        <v>360</v>
      </c>
    </row>
    <row r="34" ht="15.75" customHeight="1">
      <c r="A34" s="83">
        <v>46058.0</v>
      </c>
      <c r="B34" s="90" t="s">
        <v>29</v>
      </c>
      <c r="C34" s="58"/>
      <c r="D34" s="58"/>
      <c r="E34" s="58" t="s">
        <v>130</v>
      </c>
      <c r="F34" s="81" t="s">
        <v>361</v>
      </c>
      <c r="G34" s="48" t="s">
        <v>292</v>
      </c>
      <c r="H34" s="48" t="s">
        <v>37</v>
      </c>
      <c r="I34" s="50">
        <v>34990.0</v>
      </c>
      <c r="J34" s="50"/>
      <c r="K34" s="48" t="s">
        <v>299</v>
      </c>
      <c r="L34" s="84">
        <v>46060.0</v>
      </c>
      <c r="M34" s="81"/>
    </row>
    <row r="35" ht="15.75" customHeight="1">
      <c r="A35" s="28">
        <v>46058.0</v>
      </c>
      <c r="B35" s="1" t="s">
        <v>19</v>
      </c>
      <c r="C35" s="1"/>
      <c r="D35" s="1"/>
      <c r="E35" s="1" t="s">
        <v>130</v>
      </c>
      <c r="F35" s="2" t="s">
        <v>362</v>
      </c>
      <c r="G35" s="43" t="s">
        <v>288</v>
      </c>
      <c r="H35" s="43"/>
      <c r="I35" s="45"/>
      <c r="J35" s="45"/>
      <c r="K35" s="43"/>
      <c r="M35" s="88" t="s">
        <v>363</v>
      </c>
      <c r="O35" s="1" t="s">
        <v>157</v>
      </c>
    </row>
    <row r="36" ht="15.75" customHeight="1">
      <c r="A36" s="28">
        <v>46058.0</v>
      </c>
      <c r="B36" s="14" t="s">
        <v>257</v>
      </c>
      <c r="C36" s="1"/>
      <c r="D36" s="1"/>
      <c r="E36" s="1" t="s">
        <v>130</v>
      </c>
      <c r="F36" s="2" t="s">
        <v>364</v>
      </c>
      <c r="G36" s="43" t="s">
        <v>288</v>
      </c>
      <c r="H36" s="43"/>
      <c r="I36" s="45"/>
      <c r="J36" s="45"/>
      <c r="K36" s="43"/>
      <c r="M36" s="88" t="s">
        <v>363</v>
      </c>
      <c r="O36" s="1" t="s">
        <v>157</v>
      </c>
    </row>
    <row r="37" ht="15.75" customHeight="1">
      <c r="A37" s="83">
        <v>46058.0</v>
      </c>
      <c r="B37" s="90" t="s">
        <v>327</v>
      </c>
      <c r="C37" s="58"/>
      <c r="D37" s="58"/>
      <c r="E37" s="58" t="s">
        <v>130</v>
      </c>
      <c r="F37" s="81" t="s">
        <v>365</v>
      </c>
      <c r="G37" s="48" t="s">
        <v>292</v>
      </c>
      <c r="H37" s="48" t="s">
        <v>15</v>
      </c>
      <c r="I37" s="50">
        <v>54990.0</v>
      </c>
      <c r="J37" s="50"/>
      <c r="K37" s="48" t="s">
        <v>299</v>
      </c>
      <c r="L37" s="58"/>
      <c r="M37" s="81"/>
    </row>
    <row r="38" ht="15.75" customHeight="1">
      <c r="A38" s="28">
        <v>46058.0</v>
      </c>
      <c r="B38" s="1" t="s">
        <v>137</v>
      </c>
      <c r="C38" s="1"/>
      <c r="D38" s="1"/>
      <c r="E38" s="1" t="s">
        <v>126</v>
      </c>
      <c r="F38" s="2" t="s">
        <v>366</v>
      </c>
      <c r="G38" s="43" t="s">
        <v>288</v>
      </c>
      <c r="H38" s="43" t="s">
        <v>37</v>
      </c>
      <c r="I38" s="45"/>
      <c r="J38" s="45"/>
      <c r="K38" s="43"/>
      <c r="M38" s="85" t="s">
        <v>367</v>
      </c>
      <c r="O38" s="1" t="s">
        <v>157</v>
      </c>
    </row>
    <row r="39" ht="15.75" customHeight="1">
      <c r="A39" s="86">
        <v>46058.0</v>
      </c>
      <c r="B39" s="87" t="s">
        <v>137</v>
      </c>
      <c r="C39" s="87"/>
      <c r="D39" s="87"/>
      <c r="E39" s="87" t="s">
        <v>249</v>
      </c>
      <c r="F39" s="85" t="s">
        <v>368</v>
      </c>
      <c r="G39" s="65" t="s">
        <v>369</v>
      </c>
      <c r="H39" s="65"/>
      <c r="I39" s="67"/>
      <c r="J39" s="67"/>
      <c r="K39" s="65"/>
      <c r="L39" s="87"/>
      <c r="M39" s="85" t="s">
        <v>370</v>
      </c>
    </row>
    <row r="40" ht="15.75" customHeight="1">
      <c r="A40" s="78">
        <v>46059.0</v>
      </c>
      <c r="B40" s="80" t="s">
        <v>95</v>
      </c>
      <c r="C40" s="80"/>
      <c r="D40" s="80"/>
      <c r="E40" s="80" t="s">
        <v>126</v>
      </c>
      <c r="F40" s="19" t="s">
        <v>371</v>
      </c>
      <c r="G40" s="56"/>
      <c r="H40" s="56"/>
      <c r="I40" s="57"/>
      <c r="J40" s="57"/>
      <c r="K40" s="56"/>
      <c r="L40" s="80"/>
      <c r="M40" s="19" t="s">
        <v>372</v>
      </c>
    </row>
    <row r="41" ht="15.75" customHeight="1">
      <c r="A41" s="83">
        <v>46059.0</v>
      </c>
      <c r="B41" s="58" t="s">
        <v>373</v>
      </c>
      <c r="C41" s="58"/>
      <c r="D41" s="58"/>
      <c r="E41" s="58"/>
      <c r="F41" s="81"/>
      <c r="G41" s="48" t="s">
        <v>292</v>
      </c>
      <c r="H41" s="48" t="s">
        <v>335</v>
      </c>
      <c r="I41" s="50">
        <v>79990.0</v>
      </c>
      <c r="J41" s="50"/>
      <c r="K41" s="48" t="s">
        <v>299</v>
      </c>
      <c r="L41" s="84">
        <v>46059.0</v>
      </c>
      <c r="M41" s="81"/>
    </row>
    <row r="42" ht="15.75" customHeight="1">
      <c r="A42" s="83">
        <v>46059.0</v>
      </c>
      <c r="B42" s="58" t="s">
        <v>29</v>
      </c>
      <c r="C42" s="58"/>
      <c r="D42" s="58"/>
      <c r="E42" s="58" t="s">
        <v>130</v>
      </c>
      <c r="F42" s="81" t="s">
        <v>374</v>
      </c>
      <c r="G42" s="48" t="s">
        <v>292</v>
      </c>
      <c r="H42" s="48" t="s">
        <v>15</v>
      </c>
      <c r="I42" s="50">
        <v>54990.0</v>
      </c>
      <c r="J42" s="50"/>
      <c r="K42" s="48"/>
      <c r="L42" s="58"/>
      <c r="M42" s="81"/>
    </row>
    <row r="43" ht="15.75" customHeight="1">
      <c r="A43" s="83">
        <v>46059.0</v>
      </c>
      <c r="B43" s="58" t="s">
        <v>19</v>
      </c>
      <c r="C43" s="58"/>
      <c r="D43" s="58"/>
      <c r="E43" s="58" t="s">
        <v>130</v>
      </c>
      <c r="F43" s="81" t="s">
        <v>375</v>
      </c>
      <c r="G43" s="48" t="s">
        <v>292</v>
      </c>
      <c r="H43" s="48" t="s">
        <v>15</v>
      </c>
      <c r="I43" s="50">
        <v>54990.0</v>
      </c>
      <c r="J43" s="50"/>
      <c r="K43" s="48" t="s">
        <v>299</v>
      </c>
      <c r="L43" s="58"/>
      <c r="M43" s="81"/>
    </row>
    <row r="44" ht="15.75" customHeight="1">
      <c r="A44" s="83">
        <v>46059.0</v>
      </c>
      <c r="B44" s="58" t="s">
        <v>145</v>
      </c>
      <c r="C44" s="58"/>
      <c r="D44" s="58"/>
      <c r="E44" s="58" t="s">
        <v>122</v>
      </c>
      <c r="F44" s="81" t="s">
        <v>376</v>
      </c>
      <c r="G44" s="48" t="s">
        <v>292</v>
      </c>
      <c r="H44" s="48" t="s">
        <v>37</v>
      </c>
      <c r="I44" s="50">
        <v>34990.0</v>
      </c>
      <c r="J44" s="50"/>
      <c r="K44" s="48" t="s">
        <v>293</v>
      </c>
      <c r="L44" s="58"/>
      <c r="M44" s="81" t="s">
        <v>377</v>
      </c>
    </row>
    <row r="45" ht="15.75" customHeight="1">
      <c r="A45" s="83">
        <v>46059.0</v>
      </c>
      <c r="B45" s="58" t="s">
        <v>290</v>
      </c>
      <c r="C45" s="58"/>
      <c r="D45" s="58"/>
      <c r="E45" s="58" t="s">
        <v>378</v>
      </c>
      <c r="F45" s="81" t="s">
        <v>379</v>
      </c>
      <c r="G45" s="48" t="s">
        <v>292</v>
      </c>
      <c r="H45" s="48" t="s">
        <v>15</v>
      </c>
      <c r="I45" s="50">
        <v>54990.0</v>
      </c>
      <c r="J45" s="50"/>
      <c r="K45" s="48"/>
      <c r="L45" s="58"/>
      <c r="M45" s="81"/>
    </row>
    <row r="46" ht="15.75" customHeight="1">
      <c r="A46" s="78">
        <v>46060.0</v>
      </c>
      <c r="B46" s="80" t="s">
        <v>39</v>
      </c>
      <c r="C46" s="80"/>
      <c r="D46" s="80"/>
      <c r="E46" s="80" t="s">
        <v>126</v>
      </c>
      <c r="F46" s="19" t="s">
        <v>380</v>
      </c>
      <c r="G46" s="56"/>
      <c r="H46" s="56"/>
      <c r="I46" s="57"/>
      <c r="J46" s="57"/>
      <c r="K46" s="56"/>
      <c r="L46" s="80"/>
      <c r="M46" s="19" t="s">
        <v>381</v>
      </c>
    </row>
    <row r="47" ht="15.75" customHeight="1">
      <c r="A47" s="83">
        <v>46060.0</v>
      </c>
      <c r="B47" s="90" t="s">
        <v>29</v>
      </c>
      <c r="C47" s="58"/>
      <c r="D47" s="58"/>
      <c r="E47" s="58" t="s">
        <v>130</v>
      </c>
      <c r="F47" s="81" t="s">
        <v>382</v>
      </c>
      <c r="G47" s="48" t="s">
        <v>292</v>
      </c>
      <c r="H47" s="48" t="s">
        <v>15</v>
      </c>
      <c r="I47" s="50">
        <v>54990.0</v>
      </c>
      <c r="J47" s="50"/>
      <c r="K47" s="48" t="s">
        <v>299</v>
      </c>
      <c r="L47" s="58"/>
      <c r="M47" s="81"/>
    </row>
    <row r="48" ht="15.75" customHeight="1">
      <c r="A48" s="78">
        <v>46060.0</v>
      </c>
      <c r="B48" s="80" t="s">
        <v>383</v>
      </c>
      <c r="C48" s="80"/>
      <c r="D48" s="80"/>
      <c r="E48" s="80"/>
      <c r="F48" s="19"/>
      <c r="G48" s="56"/>
      <c r="H48" s="80"/>
      <c r="I48" s="80"/>
      <c r="J48" s="57"/>
      <c r="K48" s="56"/>
      <c r="L48" s="80"/>
      <c r="M48" s="19" t="s">
        <v>381</v>
      </c>
    </row>
    <row r="49" ht="15.75" customHeight="1">
      <c r="A49" s="28">
        <v>46061.0</v>
      </c>
      <c r="B49" s="14" t="s">
        <v>29</v>
      </c>
      <c r="C49" s="1"/>
      <c r="D49" s="1"/>
      <c r="E49" s="1" t="s">
        <v>149</v>
      </c>
      <c r="F49" s="2" t="s">
        <v>384</v>
      </c>
      <c r="G49" s="43" t="s">
        <v>292</v>
      </c>
      <c r="H49" s="43"/>
      <c r="I49" s="45"/>
      <c r="J49" s="45"/>
      <c r="K49" s="43"/>
      <c r="M49" s="2" t="s">
        <v>385</v>
      </c>
    </row>
    <row r="50" ht="15.75" customHeight="1">
      <c r="A50" s="28">
        <v>46061.0</v>
      </c>
      <c r="B50" s="1" t="s">
        <v>386</v>
      </c>
      <c r="C50" s="1"/>
      <c r="D50" s="1"/>
      <c r="E50" s="30" t="s">
        <v>122</v>
      </c>
      <c r="F50" s="2" t="s">
        <v>387</v>
      </c>
      <c r="G50" s="43" t="s">
        <v>322</v>
      </c>
      <c r="H50" s="43"/>
      <c r="I50" s="45"/>
      <c r="J50" s="45"/>
      <c r="K50" s="43"/>
      <c r="M50" s="2" t="s">
        <v>388</v>
      </c>
    </row>
    <row r="51" ht="15.75" customHeight="1">
      <c r="A51" s="83">
        <v>46061.0</v>
      </c>
      <c r="B51" s="58" t="s">
        <v>19</v>
      </c>
      <c r="C51" s="58"/>
      <c r="D51" s="58"/>
      <c r="E51" s="58" t="s">
        <v>249</v>
      </c>
      <c r="F51" s="81" t="s">
        <v>389</v>
      </c>
      <c r="G51" s="48" t="s">
        <v>292</v>
      </c>
      <c r="H51" s="48" t="s">
        <v>15</v>
      </c>
      <c r="I51" s="50">
        <v>54990.0</v>
      </c>
      <c r="J51" s="50"/>
      <c r="K51" s="48" t="s">
        <v>299</v>
      </c>
      <c r="L51" s="58"/>
      <c r="M51" s="81"/>
    </row>
    <row r="52" ht="15.75" customHeight="1">
      <c r="A52" s="78">
        <v>46061.0</v>
      </c>
      <c r="B52" s="80" t="s">
        <v>390</v>
      </c>
      <c r="C52" s="80"/>
      <c r="D52" s="80"/>
      <c r="E52" s="80" t="s">
        <v>149</v>
      </c>
      <c r="F52" s="19" t="s">
        <v>391</v>
      </c>
      <c r="G52" s="56"/>
      <c r="H52" s="56"/>
      <c r="I52" s="57"/>
      <c r="J52" s="57"/>
      <c r="K52" s="56"/>
      <c r="L52" s="80"/>
      <c r="M52" s="19" t="s">
        <v>392</v>
      </c>
      <c r="O52" s="1" t="s">
        <v>157</v>
      </c>
    </row>
    <row r="53" ht="15.75" customHeight="1">
      <c r="A53" s="83">
        <v>46061.0</v>
      </c>
      <c r="B53" s="58" t="s">
        <v>29</v>
      </c>
      <c r="C53" s="58"/>
      <c r="D53" s="58"/>
      <c r="E53" s="58" t="s">
        <v>130</v>
      </c>
      <c r="F53" s="81" t="s">
        <v>393</v>
      </c>
      <c r="G53" s="48" t="s">
        <v>292</v>
      </c>
      <c r="H53" s="48" t="s">
        <v>15</v>
      </c>
      <c r="I53" s="50">
        <v>54990.0</v>
      </c>
      <c r="J53" s="50"/>
      <c r="K53" s="48" t="s">
        <v>299</v>
      </c>
      <c r="L53" s="58"/>
      <c r="M53" s="81"/>
    </row>
    <row r="54" ht="15.75" customHeight="1">
      <c r="A54" s="83">
        <v>46062.0</v>
      </c>
      <c r="B54" s="58" t="s">
        <v>394</v>
      </c>
      <c r="C54" s="58"/>
      <c r="D54" s="58"/>
      <c r="E54" s="58" t="s">
        <v>133</v>
      </c>
      <c r="F54" s="81" t="s">
        <v>395</v>
      </c>
      <c r="G54" s="48" t="s">
        <v>292</v>
      </c>
      <c r="H54" s="48" t="s">
        <v>15</v>
      </c>
      <c r="I54" s="50">
        <v>54990.0</v>
      </c>
      <c r="J54" s="50"/>
      <c r="K54" s="48" t="s">
        <v>299</v>
      </c>
      <c r="L54" s="58"/>
      <c r="M54" s="81"/>
    </row>
    <row r="55" ht="15.75" customHeight="1">
      <c r="A55" s="83">
        <v>46061.0</v>
      </c>
      <c r="B55" s="58" t="s">
        <v>327</v>
      </c>
      <c r="C55" s="58"/>
      <c r="D55" s="58"/>
      <c r="E55" s="58" t="s">
        <v>130</v>
      </c>
      <c r="F55" s="81" t="s">
        <v>396</v>
      </c>
      <c r="G55" s="48" t="s">
        <v>292</v>
      </c>
      <c r="H55" s="48" t="s">
        <v>15</v>
      </c>
      <c r="I55" s="50">
        <v>54990.0</v>
      </c>
      <c r="J55" s="50"/>
      <c r="K55" s="48" t="s">
        <v>299</v>
      </c>
      <c r="L55" s="58"/>
      <c r="M55" s="81"/>
    </row>
    <row r="56" ht="15.75" customHeight="1">
      <c r="A56" s="83">
        <v>46062.0</v>
      </c>
      <c r="B56" s="58" t="s">
        <v>84</v>
      </c>
      <c r="C56" s="58"/>
      <c r="D56" s="58"/>
      <c r="E56" s="58" t="s">
        <v>130</v>
      </c>
      <c r="F56" s="81" t="s">
        <v>397</v>
      </c>
      <c r="G56" s="48" t="s">
        <v>292</v>
      </c>
      <c r="H56" s="48" t="s">
        <v>15</v>
      </c>
      <c r="I56" s="50">
        <v>54990.0</v>
      </c>
      <c r="J56" s="50"/>
      <c r="K56" s="48" t="s">
        <v>299</v>
      </c>
      <c r="L56" s="58"/>
      <c r="M56" s="81"/>
    </row>
    <row r="57" ht="15.75" customHeight="1">
      <c r="A57" s="83">
        <v>46063.0</v>
      </c>
      <c r="B57" s="58" t="s">
        <v>398</v>
      </c>
      <c r="C57" s="58"/>
      <c r="D57" s="58"/>
      <c r="E57" s="58" t="s">
        <v>130</v>
      </c>
      <c r="F57" s="81" t="s">
        <v>399</v>
      </c>
      <c r="G57" s="48" t="s">
        <v>292</v>
      </c>
      <c r="H57" s="48" t="s">
        <v>15</v>
      </c>
      <c r="I57" s="50">
        <v>54990.0</v>
      </c>
      <c r="J57" s="50"/>
      <c r="K57" s="48" t="s">
        <v>299</v>
      </c>
      <c r="L57" s="58"/>
      <c r="M57" s="81"/>
    </row>
    <row r="58" ht="15.75" customHeight="1">
      <c r="A58" s="83">
        <v>46064.0</v>
      </c>
      <c r="B58" s="58" t="s">
        <v>118</v>
      </c>
      <c r="C58" s="58"/>
      <c r="D58" s="58"/>
      <c r="E58" s="58" t="s">
        <v>249</v>
      </c>
      <c r="F58" s="81" t="s">
        <v>400</v>
      </c>
      <c r="G58" s="48" t="s">
        <v>292</v>
      </c>
      <c r="H58" s="48" t="s">
        <v>15</v>
      </c>
      <c r="I58" s="50">
        <v>54990.0</v>
      </c>
      <c r="J58" s="50"/>
      <c r="K58" s="48" t="s">
        <v>299</v>
      </c>
      <c r="L58" s="58"/>
      <c r="M58" s="81"/>
    </row>
    <row r="59" ht="15.75" customHeight="1">
      <c r="A59" s="28">
        <v>46064.0</v>
      </c>
      <c r="B59" s="1" t="s">
        <v>118</v>
      </c>
      <c r="C59" s="1"/>
      <c r="D59" s="1"/>
      <c r="E59" s="1" t="s">
        <v>130</v>
      </c>
      <c r="F59" s="2" t="s">
        <v>401</v>
      </c>
      <c r="G59" s="43" t="s">
        <v>295</v>
      </c>
      <c r="H59" s="43"/>
      <c r="I59" s="45"/>
      <c r="J59" s="45"/>
      <c r="K59" s="43"/>
      <c r="M59" s="19"/>
    </row>
    <row r="60" ht="15.75" customHeight="1">
      <c r="A60" s="28">
        <v>46065.0</v>
      </c>
      <c r="B60" s="1" t="s">
        <v>92</v>
      </c>
      <c r="C60" s="1"/>
      <c r="D60" s="1"/>
      <c r="E60" s="31" t="s">
        <v>130</v>
      </c>
      <c r="F60" s="2" t="s">
        <v>402</v>
      </c>
      <c r="G60" s="43" t="s">
        <v>295</v>
      </c>
      <c r="H60" s="43"/>
      <c r="I60" s="45"/>
      <c r="J60" s="45"/>
      <c r="K60" s="43"/>
      <c r="M60" s="19"/>
    </row>
    <row r="61" ht="15.75" customHeight="1">
      <c r="A61" s="28">
        <v>46065.0</v>
      </c>
      <c r="B61" s="14" t="s">
        <v>403</v>
      </c>
      <c r="C61" s="1"/>
      <c r="D61" s="1"/>
      <c r="E61" s="1" t="s">
        <v>126</v>
      </c>
      <c r="F61" s="2" t="s">
        <v>404</v>
      </c>
      <c r="G61" s="43" t="s">
        <v>295</v>
      </c>
      <c r="H61" s="43"/>
      <c r="I61" s="45"/>
      <c r="J61" s="45"/>
      <c r="K61" s="43"/>
      <c r="M61" s="19" t="s">
        <v>405</v>
      </c>
    </row>
    <row r="62" ht="15.75" customHeight="1">
      <c r="A62" s="28">
        <v>46065.0</v>
      </c>
      <c r="B62" s="1" t="s">
        <v>406</v>
      </c>
      <c r="C62" s="1"/>
      <c r="D62" s="1"/>
      <c r="E62" s="31" t="s">
        <v>126</v>
      </c>
      <c r="F62" s="2" t="s">
        <v>407</v>
      </c>
      <c r="G62" s="43" t="s">
        <v>292</v>
      </c>
      <c r="H62" s="43"/>
      <c r="I62" s="45"/>
      <c r="J62" s="45"/>
      <c r="K62" s="43"/>
      <c r="M62" s="81"/>
    </row>
    <row r="63" ht="15.75" customHeight="1">
      <c r="A63" s="28">
        <v>46065.0</v>
      </c>
      <c r="B63" s="1" t="s">
        <v>408</v>
      </c>
      <c r="C63" s="1"/>
      <c r="D63" s="1"/>
      <c r="E63" s="1" t="s">
        <v>126</v>
      </c>
      <c r="F63" s="2" t="s">
        <v>409</v>
      </c>
      <c r="G63" s="43" t="s">
        <v>322</v>
      </c>
      <c r="H63" s="43"/>
      <c r="I63" s="45"/>
      <c r="J63" s="45"/>
      <c r="K63" s="43"/>
      <c r="M63" s="2" t="s">
        <v>410</v>
      </c>
    </row>
    <row r="64" ht="15.75" customHeight="1">
      <c r="A64" s="28">
        <v>46066.0</v>
      </c>
      <c r="B64" s="1" t="s">
        <v>162</v>
      </c>
      <c r="C64" s="32"/>
      <c r="D64" s="32"/>
      <c r="E64" s="1" t="s">
        <v>270</v>
      </c>
      <c r="F64" s="2" t="s">
        <v>411</v>
      </c>
      <c r="G64" s="43" t="s">
        <v>347</v>
      </c>
      <c r="H64" s="43"/>
      <c r="I64" s="45"/>
      <c r="J64" s="45"/>
      <c r="K64" s="43"/>
      <c r="M64" s="82" t="s">
        <v>412</v>
      </c>
    </row>
    <row r="65" ht="15.75" customHeight="1">
      <c r="A65" s="28">
        <v>46066.0</v>
      </c>
      <c r="B65" s="1" t="s">
        <v>65</v>
      </c>
      <c r="C65" s="1"/>
      <c r="D65" s="1"/>
      <c r="E65" s="1" t="s">
        <v>122</v>
      </c>
      <c r="F65" s="2" t="s">
        <v>413</v>
      </c>
      <c r="G65" s="43" t="s">
        <v>322</v>
      </c>
      <c r="H65" s="43"/>
      <c r="I65" s="45"/>
      <c r="J65" s="45"/>
      <c r="K65" s="43"/>
      <c r="M65" s="81" t="s">
        <v>414</v>
      </c>
    </row>
    <row r="66" ht="15.75" customHeight="1">
      <c r="A66" s="28">
        <v>46066.0</v>
      </c>
      <c r="B66" s="1" t="s">
        <v>29</v>
      </c>
      <c r="C66" s="1"/>
      <c r="D66" s="1"/>
      <c r="E66" s="1" t="s">
        <v>133</v>
      </c>
      <c r="F66" s="2" t="s">
        <v>415</v>
      </c>
      <c r="G66" s="43" t="s">
        <v>292</v>
      </c>
      <c r="H66" s="43"/>
      <c r="I66" s="45"/>
      <c r="J66" s="45"/>
      <c r="K66" s="43"/>
      <c r="M66" s="81"/>
    </row>
    <row r="67" ht="15.75" customHeight="1">
      <c r="A67" s="28">
        <v>46066.0</v>
      </c>
      <c r="B67" s="1" t="s">
        <v>416</v>
      </c>
      <c r="E67" s="1" t="s">
        <v>122</v>
      </c>
      <c r="F67" s="2" t="s">
        <v>417</v>
      </c>
      <c r="G67" s="43" t="s">
        <v>292</v>
      </c>
      <c r="H67" s="43"/>
      <c r="I67" s="45"/>
      <c r="J67" s="45"/>
      <c r="K67" s="43"/>
      <c r="M67" s="81"/>
    </row>
    <row r="68" ht="15.75" customHeight="1">
      <c r="A68" s="28">
        <v>46066.0</v>
      </c>
      <c r="B68" s="1" t="s">
        <v>95</v>
      </c>
      <c r="C68" s="1"/>
      <c r="D68" s="1"/>
      <c r="E68" s="1" t="s">
        <v>122</v>
      </c>
      <c r="F68" s="2" t="s">
        <v>418</v>
      </c>
      <c r="G68" s="43" t="s">
        <v>347</v>
      </c>
      <c r="H68" s="43"/>
      <c r="I68" s="45"/>
      <c r="J68" s="45"/>
      <c r="K68" s="43"/>
      <c r="M68" s="82" t="s">
        <v>419</v>
      </c>
    </row>
    <row r="69" ht="15.75" customHeight="1">
      <c r="A69" s="28">
        <v>46066.0</v>
      </c>
      <c r="B69" s="1" t="s">
        <v>386</v>
      </c>
      <c r="C69" s="1"/>
      <c r="D69" s="1"/>
      <c r="E69" s="1" t="s">
        <v>126</v>
      </c>
      <c r="F69" s="2" t="s">
        <v>420</v>
      </c>
      <c r="G69" s="43" t="s">
        <v>347</v>
      </c>
      <c r="H69" s="43"/>
      <c r="I69" s="45"/>
      <c r="J69" s="45"/>
      <c r="K69" s="43"/>
      <c r="M69" s="27"/>
    </row>
    <row r="70" ht="15.75" customHeight="1">
      <c r="A70" s="28">
        <v>46070.0</v>
      </c>
      <c r="B70" s="1" t="s">
        <v>95</v>
      </c>
      <c r="C70" s="1"/>
      <c r="D70" s="1"/>
      <c r="E70" s="1" t="s">
        <v>130</v>
      </c>
      <c r="F70" s="2" t="s">
        <v>421</v>
      </c>
      <c r="G70" s="43" t="s">
        <v>369</v>
      </c>
      <c r="H70" s="43"/>
      <c r="I70" s="45"/>
      <c r="J70" s="45"/>
      <c r="K70" s="43"/>
      <c r="M70" s="27"/>
    </row>
    <row r="71" ht="15.75" customHeight="1">
      <c r="F71" s="2"/>
      <c r="G71" s="43"/>
      <c r="H71" s="43"/>
      <c r="I71" s="45"/>
      <c r="J71" s="45"/>
      <c r="K71" s="43"/>
      <c r="M71" s="27"/>
    </row>
    <row r="72" ht="15.75" customHeight="1">
      <c r="F72" s="2"/>
      <c r="G72" s="43"/>
      <c r="H72" s="43"/>
      <c r="I72" s="45"/>
      <c r="J72" s="45"/>
      <c r="K72" s="43"/>
      <c r="M72" s="27"/>
    </row>
    <row r="73" ht="15.75" customHeight="1">
      <c r="F73" s="2"/>
      <c r="G73" s="43"/>
      <c r="H73" s="43"/>
      <c r="I73" s="45"/>
      <c r="J73" s="45"/>
      <c r="K73" s="43"/>
      <c r="M73" s="27"/>
    </row>
    <row r="74" ht="15.75" customHeight="1">
      <c r="F74" s="2"/>
      <c r="G74" s="43"/>
      <c r="H74" s="43"/>
      <c r="I74" s="45"/>
      <c r="J74" s="45"/>
      <c r="K74" s="43"/>
      <c r="M74" s="27"/>
    </row>
    <row r="75" ht="15.75" customHeight="1">
      <c r="F75" s="2"/>
      <c r="G75" s="43"/>
      <c r="H75" s="43"/>
      <c r="I75" s="45"/>
      <c r="J75" s="45"/>
      <c r="K75" s="43"/>
      <c r="M75" s="27"/>
    </row>
    <row r="76" ht="15.75" customHeight="1">
      <c r="F76" s="2"/>
      <c r="G76" s="43"/>
      <c r="H76" s="43"/>
      <c r="I76" s="45"/>
      <c r="J76" s="45"/>
      <c r="K76" s="43"/>
      <c r="M76" s="27"/>
    </row>
    <row r="77" ht="15.75" customHeight="1">
      <c r="F77" s="2"/>
      <c r="G77" s="43"/>
      <c r="H77" s="43"/>
      <c r="I77" s="45"/>
      <c r="J77" s="45"/>
      <c r="K77" s="43"/>
      <c r="M77" s="27"/>
    </row>
    <row r="78" ht="15.75" customHeight="1">
      <c r="F78" s="2"/>
      <c r="G78" s="43"/>
      <c r="H78" s="43"/>
      <c r="I78" s="45"/>
      <c r="J78" s="45"/>
      <c r="K78" s="43"/>
      <c r="M78" s="27"/>
    </row>
    <row r="79" ht="15.75" customHeight="1">
      <c r="F79" s="2"/>
      <c r="G79" s="43"/>
      <c r="H79" s="43"/>
      <c r="I79" s="45"/>
      <c r="J79" s="45"/>
      <c r="K79" s="43"/>
      <c r="M79" s="27"/>
    </row>
    <row r="80" ht="15.75" customHeight="1">
      <c r="F80" s="2"/>
      <c r="G80" s="43"/>
      <c r="H80" s="43"/>
      <c r="I80" s="45"/>
      <c r="J80" s="45"/>
      <c r="K80" s="43"/>
      <c r="M80" s="27"/>
    </row>
    <row r="81" ht="15.75" customHeight="1">
      <c r="F81" s="2"/>
      <c r="G81" s="43"/>
      <c r="H81" s="43"/>
      <c r="I81" s="45"/>
      <c r="J81" s="45"/>
      <c r="K81" s="43"/>
      <c r="M81" s="27"/>
    </row>
    <row r="82" ht="15.75" customHeight="1">
      <c r="F82" s="2"/>
      <c r="G82" s="43"/>
      <c r="H82" s="43"/>
      <c r="I82" s="45"/>
      <c r="J82" s="45"/>
      <c r="K82" s="43"/>
      <c r="M82" s="27"/>
    </row>
    <row r="83" ht="15.75" customHeight="1">
      <c r="F83" s="2"/>
      <c r="G83" s="43"/>
      <c r="H83" s="43"/>
      <c r="I83" s="45"/>
      <c r="J83" s="45"/>
      <c r="K83" s="43"/>
      <c r="M83" s="27"/>
    </row>
    <row r="84" ht="15.75" customHeight="1">
      <c r="F84" s="2"/>
      <c r="G84" s="43"/>
      <c r="H84" s="43"/>
      <c r="I84" s="45"/>
      <c r="J84" s="45"/>
      <c r="K84" s="43"/>
      <c r="M84" s="27"/>
    </row>
    <row r="85" ht="15.75" customHeight="1">
      <c r="F85" s="2"/>
      <c r="G85" s="43"/>
      <c r="H85" s="43"/>
      <c r="I85" s="45"/>
      <c r="J85" s="45"/>
      <c r="K85" s="43"/>
      <c r="M85" s="27"/>
    </row>
    <row r="86" ht="15.75" customHeight="1">
      <c r="F86" s="2"/>
      <c r="G86" s="43"/>
      <c r="H86" s="43"/>
      <c r="I86" s="45"/>
      <c r="J86" s="45"/>
      <c r="K86" s="43"/>
      <c r="M86" s="27"/>
    </row>
    <row r="87" ht="15.75" customHeight="1">
      <c r="F87" s="2"/>
      <c r="G87" s="43"/>
      <c r="H87" s="43"/>
      <c r="I87" s="45"/>
      <c r="J87" s="45"/>
      <c r="K87" s="43"/>
      <c r="M87" s="27"/>
    </row>
    <row r="88" ht="15.75" customHeight="1">
      <c r="F88" s="2"/>
      <c r="G88" s="43"/>
      <c r="H88" s="43"/>
      <c r="I88" s="45"/>
      <c r="J88" s="45"/>
      <c r="K88" s="43"/>
      <c r="M88" s="27"/>
    </row>
    <row r="89" ht="15.75" customHeight="1">
      <c r="F89" s="2"/>
      <c r="G89" s="43"/>
      <c r="H89" s="43"/>
      <c r="I89" s="45"/>
      <c r="J89" s="45"/>
      <c r="K89" s="43"/>
      <c r="M89" s="27"/>
    </row>
    <row r="90" ht="15.75" customHeight="1">
      <c r="F90" s="2"/>
      <c r="G90" s="43"/>
      <c r="H90" s="43"/>
      <c r="I90" s="45"/>
      <c r="J90" s="45"/>
      <c r="K90" s="43"/>
      <c r="M90" s="27"/>
    </row>
    <row r="91" ht="15.75" customHeight="1">
      <c r="F91" s="2"/>
      <c r="G91" s="43"/>
      <c r="H91" s="43"/>
      <c r="I91" s="45"/>
      <c r="J91" s="45"/>
      <c r="K91" s="43"/>
      <c r="M91" s="27"/>
    </row>
    <row r="92" ht="15.75" customHeight="1">
      <c r="F92" s="2"/>
      <c r="G92" s="43"/>
      <c r="H92" s="43"/>
      <c r="I92" s="45"/>
      <c r="J92" s="45"/>
      <c r="K92" s="43"/>
      <c r="M92" s="27"/>
    </row>
    <row r="93" ht="15.75" customHeight="1">
      <c r="F93" s="2"/>
      <c r="G93" s="43"/>
      <c r="H93" s="43"/>
      <c r="I93" s="45"/>
      <c r="J93" s="45"/>
      <c r="K93" s="43"/>
      <c r="M93" s="27"/>
    </row>
    <row r="94" ht="15.75" customHeight="1">
      <c r="F94" s="2"/>
      <c r="G94" s="43"/>
      <c r="H94" s="43"/>
      <c r="I94" s="45"/>
      <c r="J94" s="45"/>
      <c r="K94" s="43"/>
      <c r="M94" s="27"/>
    </row>
    <row r="95" ht="15.75" customHeight="1">
      <c r="F95" s="2"/>
      <c r="G95" s="43"/>
      <c r="H95" s="43"/>
      <c r="I95" s="45"/>
      <c r="J95" s="45"/>
      <c r="K95" s="43"/>
      <c r="M95" s="27"/>
    </row>
    <row r="96" ht="15.75" customHeight="1">
      <c r="F96" s="2"/>
      <c r="G96" s="43"/>
      <c r="H96" s="43"/>
      <c r="I96" s="45"/>
      <c r="J96" s="45"/>
      <c r="K96" s="43"/>
      <c r="M96" s="27"/>
    </row>
    <row r="97" ht="15.75" customHeight="1">
      <c r="F97" s="2"/>
      <c r="G97" s="43"/>
      <c r="H97" s="43"/>
      <c r="I97" s="45"/>
      <c r="J97" s="45"/>
      <c r="K97" s="43"/>
      <c r="M97" s="27"/>
    </row>
    <row r="98" ht="15.75" customHeight="1">
      <c r="F98" s="2"/>
      <c r="G98" s="43"/>
      <c r="H98" s="43"/>
      <c r="I98" s="45"/>
      <c r="J98" s="45"/>
      <c r="K98" s="43"/>
      <c r="M98" s="27"/>
    </row>
    <row r="99" ht="15.75" customHeight="1">
      <c r="F99" s="2"/>
      <c r="G99" s="43"/>
      <c r="H99" s="43"/>
      <c r="I99" s="45"/>
      <c r="J99" s="45"/>
      <c r="K99" s="43"/>
      <c r="M99" s="27"/>
    </row>
    <row r="100" ht="15.75" customHeight="1">
      <c r="F100" s="2"/>
      <c r="G100" s="43"/>
      <c r="H100" s="43"/>
      <c r="I100" s="45"/>
      <c r="J100" s="45"/>
      <c r="K100" s="43"/>
      <c r="M100" s="27"/>
    </row>
    <row r="101" ht="15.75" customHeight="1">
      <c r="F101" s="2"/>
      <c r="G101" s="43"/>
      <c r="H101" s="43"/>
      <c r="I101" s="45"/>
      <c r="J101" s="45"/>
      <c r="K101" s="43"/>
      <c r="M101" s="27"/>
    </row>
    <row r="102" ht="15.75" customHeight="1">
      <c r="F102" s="2"/>
      <c r="G102" s="43"/>
      <c r="H102" s="43"/>
      <c r="I102" s="45"/>
      <c r="J102" s="45"/>
      <c r="K102" s="43"/>
      <c r="M102" s="27"/>
    </row>
    <row r="103" ht="15.75" customHeight="1">
      <c r="F103" s="2"/>
      <c r="G103" s="43"/>
      <c r="H103" s="43"/>
      <c r="I103" s="45"/>
      <c r="J103" s="45"/>
      <c r="K103" s="43"/>
      <c r="M103" s="27"/>
    </row>
    <row r="104" ht="15.75" customHeight="1">
      <c r="F104" s="2"/>
      <c r="M104" s="27"/>
    </row>
    <row r="105" ht="15.75" customHeight="1">
      <c r="F105" s="2"/>
      <c r="M105" s="27"/>
    </row>
    <row r="106" ht="15.75" customHeight="1">
      <c r="F106" s="2"/>
      <c r="M106" s="27"/>
    </row>
    <row r="107" ht="15.75" customHeight="1">
      <c r="F107" s="2"/>
      <c r="M107" s="27"/>
    </row>
    <row r="108" ht="15.75" customHeight="1">
      <c r="F108" s="2"/>
      <c r="M108" s="27"/>
    </row>
    <row r="109" ht="15.75" customHeight="1">
      <c r="F109" s="2"/>
      <c r="M109" s="27"/>
    </row>
    <row r="110" ht="15.75" customHeight="1">
      <c r="F110" s="2"/>
      <c r="M110" s="27"/>
    </row>
    <row r="111" ht="15.75" customHeight="1">
      <c r="F111" s="2"/>
      <c r="M111" s="27"/>
    </row>
    <row r="112" ht="15.75" customHeight="1">
      <c r="F112" s="2"/>
      <c r="M112" s="27"/>
    </row>
    <row r="113" ht="15.75" customHeight="1">
      <c r="F113" s="2"/>
      <c r="M113" s="27"/>
    </row>
    <row r="114" ht="15.75" customHeight="1">
      <c r="F114" s="2"/>
      <c r="M114" s="27"/>
    </row>
    <row r="115" ht="15.75" customHeight="1">
      <c r="F115" s="2"/>
      <c r="M115" s="27"/>
    </row>
    <row r="116" ht="15.75" customHeight="1">
      <c r="F116" s="2"/>
      <c r="M116" s="27"/>
    </row>
    <row r="117" ht="15.75" customHeight="1">
      <c r="F117" s="2"/>
      <c r="M117" s="27"/>
    </row>
    <row r="118" ht="15.75" customHeight="1">
      <c r="F118" s="2"/>
      <c r="M118" s="27"/>
    </row>
    <row r="119" ht="15.75" customHeight="1">
      <c r="F119" s="2"/>
      <c r="M119" s="27"/>
    </row>
    <row r="120" ht="15.75" customHeight="1">
      <c r="F120" s="2"/>
      <c r="M120" s="27"/>
    </row>
    <row r="121" ht="15.75" customHeight="1">
      <c r="F121" s="2"/>
      <c r="M121" s="27"/>
    </row>
    <row r="122" ht="15.75" customHeight="1">
      <c r="F122" s="2"/>
      <c r="M122" s="27"/>
    </row>
    <row r="123" ht="15.75" customHeight="1">
      <c r="F123" s="2"/>
      <c r="M123" s="27"/>
    </row>
    <row r="124" ht="15.75" customHeight="1">
      <c r="F124" s="2"/>
      <c r="M124" s="27"/>
    </row>
    <row r="125" ht="15.75" customHeight="1">
      <c r="F125" s="2"/>
      <c r="M125" s="27"/>
    </row>
    <row r="126" ht="15.75" customHeight="1">
      <c r="F126" s="2"/>
      <c r="M126" s="27"/>
    </row>
    <row r="127" ht="15.75" customHeight="1">
      <c r="F127" s="2"/>
      <c r="M127" s="27"/>
    </row>
    <row r="128" ht="15.75" customHeight="1">
      <c r="F128" s="2"/>
      <c r="M128" s="27"/>
    </row>
    <row r="129" ht="15.75" customHeight="1">
      <c r="F129" s="2"/>
      <c r="M129" s="27"/>
    </row>
    <row r="130" ht="15.75" customHeight="1">
      <c r="F130" s="2"/>
      <c r="M130" s="27"/>
    </row>
    <row r="131" ht="15.75" customHeight="1">
      <c r="F131" s="2"/>
      <c r="M131" s="27"/>
    </row>
    <row r="132" ht="15.75" customHeight="1">
      <c r="F132" s="2"/>
      <c r="M132" s="27"/>
    </row>
    <row r="133" ht="15.75" customHeight="1">
      <c r="F133" s="2"/>
      <c r="M133" s="27"/>
    </row>
    <row r="134" ht="15.75" customHeight="1">
      <c r="F134" s="2"/>
      <c r="M134" s="27"/>
    </row>
    <row r="135" ht="15.75" customHeight="1">
      <c r="F135" s="2"/>
      <c r="M135" s="27"/>
    </row>
    <row r="136" ht="15.75" customHeight="1">
      <c r="F136" s="2"/>
      <c r="M136" s="27"/>
    </row>
    <row r="137" ht="15.75" customHeight="1">
      <c r="F137" s="2"/>
      <c r="M137" s="27"/>
    </row>
    <row r="138" ht="15.75" customHeight="1">
      <c r="F138" s="2"/>
      <c r="M138" s="27"/>
    </row>
    <row r="139" ht="15.75" customHeight="1">
      <c r="F139" s="2"/>
      <c r="M139" s="27"/>
    </row>
    <row r="140" ht="15.75" customHeight="1">
      <c r="F140" s="2"/>
      <c r="M140" s="27"/>
    </row>
    <row r="141" ht="15.75" customHeight="1">
      <c r="F141" s="2"/>
      <c r="M141" s="27"/>
    </row>
    <row r="142" ht="15.75" customHeight="1">
      <c r="F142" s="2"/>
      <c r="M142" s="27"/>
    </row>
    <row r="143" ht="15.75" customHeight="1">
      <c r="F143" s="2"/>
      <c r="M143" s="27"/>
    </row>
    <row r="144" ht="15.75" customHeight="1">
      <c r="F144" s="2"/>
      <c r="M144" s="27"/>
    </row>
    <row r="145" ht="15.75" customHeight="1">
      <c r="F145" s="2"/>
      <c r="M145" s="27"/>
    </row>
    <row r="146" ht="15.75" customHeight="1">
      <c r="F146" s="2"/>
      <c r="M146" s="27"/>
    </row>
    <row r="147" ht="15.75" customHeight="1">
      <c r="F147" s="2"/>
      <c r="M147" s="27"/>
    </row>
    <row r="148" ht="15.75" customHeight="1">
      <c r="F148" s="2"/>
      <c r="M148" s="27"/>
    </row>
    <row r="149" ht="15.75" customHeight="1">
      <c r="F149" s="2"/>
      <c r="M149" s="27"/>
    </row>
    <row r="150" ht="15.75" customHeight="1">
      <c r="F150" s="2"/>
      <c r="M150" s="27"/>
    </row>
    <row r="151" ht="15.75" customHeight="1">
      <c r="F151" s="2"/>
      <c r="M151" s="27"/>
    </row>
    <row r="152" ht="15.75" customHeight="1">
      <c r="F152" s="2"/>
      <c r="M152" s="27"/>
    </row>
    <row r="153" ht="15.75" customHeight="1">
      <c r="F153" s="2"/>
      <c r="M153" s="27"/>
    </row>
    <row r="154" ht="15.75" customHeight="1">
      <c r="F154" s="2"/>
      <c r="M154" s="27"/>
    </row>
    <row r="155" ht="15.75" customHeight="1">
      <c r="F155" s="2"/>
      <c r="M155" s="27"/>
    </row>
    <row r="156" ht="15.75" customHeight="1">
      <c r="F156" s="2"/>
      <c r="M156" s="27"/>
    </row>
    <row r="157" ht="15.75" customHeight="1">
      <c r="F157" s="2"/>
      <c r="M157" s="27"/>
    </row>
    <row r="158" ht="15.75" customHeight="1">
      <c r="F158" s="2"/>
      <c r="M158" s="27"/>
    </row>
    <row r="159" ht="15.75" customHeight="1">
      <c r="F159" s="2"/>
      <c r="M159" s="27"/>
    </row>
    <row r="160" ht="15.75" customHeight="1">
      <c r="F160" s="2"/>
      <c r="M160" s="27"/>
    </row>
    <row r="161" ht="15.75" customHeight="1">
      <c r="F161" s="2"/>
      <c r="M161" s="27"/>
    </row>
    <row r="162" ht="15.75" customHeight="1">
      <c r="F162" s="2"/>
      <c r="M162" s="27"/>
    </row>
    <row r="163" ht="15.75" customHeight="1">
      <c r="F163" s="2"/>
      <c r="M163" s="27"/>
    </row>
    <row r="164" ht="15.75" customHeight="1">
      <c r="F164" s="2"/>
      <c r="M164" s="27"/>
    </row>
    <row r="165" ht="15.75" customHeight="1">
      <c r="F165" s="2"/>
      <c r="M165" s="27"/>
    </row>
    <row r="166" ht="15.75" customHeight="1">
      <c r="F166" s="2"/>
      <c r="M166" s="27"/>
    </row>
    <row r="167" ht="15.75" customHeight="1">
      <c r="F167" s="2"/>
      <c r="M167" s="27"/>
    </row>
    <row r="168" ht="15.75" customHeight="1">
      <c r="F168" s="2"/>
      <c r="M168" s="27"/>
    </row>
    <row r="169" ht="15.75" customHeight="1">
      <c r="F169" s="2"/>
      <c r="M169" s="27"/>
    </row>
    <row r="170" ht="15.75" customHeight="1">
      <c r="F170" s="2"/>
      <c r="M170" s="27"/>
    </row>
    <row r="171" ht="15.75" customHeight="1">
      <c r="F171" s="2"/>
      <c r="M171" s="27"/>
    </row>
    <row r="172" ht="15.75" customHeight="1">
      <c r="F172" s="2"/>
      <c r="M172" s="27"/>
    </row>
    <row r="173" ht="15.75" customHeight="1">
      <c r="F173" s="2"/>
      <c r="M173" s="27"/>
    </row>
    <row r="174" ht="15.75" customHeight="1">
      <c r="F174" s="2"/>
      <c r="M174" s="27"/>
    </row>
    <row r="175" ht="15.75" customHeight="1">
      <c r="F175" s="2"/>
      <c r="M175" s="27"/>
    </row>
    <row r="176" ht="15.75" customHeight="1">
      <c r="F176" s="2"/>
      <c r="M176" s="27"/>
    </row>
    <row r="177" ht="15.75" customHeight="1">
      <c r="F177" s="2"/>
      <c r="M177" s="27"/>
    </row>
    <row r="178" ht="15.75" customHeight="1">
      <c r="F178" s="2"/>
      <c r="M178" s="27"/>
    </row>
    <row r="179" ht="15.75" customHeight="1">
      <c r="F179" s="2"/>
      <c r="M179" s="27"/>
    </row>
    <row r="180" ht="15.75" customHeight="1">
      <c r="F180" s="2"/>
      <c r="M180" s="27"/>
    </row>
    <row r="181" ht="15.75" customHeight="1">
      <c r="F181" s="2"/>
      <c r="M181" s="27"/>
    </row>
    <row r="182" ht="15.75" customHeight="1">
      <c r="F182" s="2"/>
      <c r="M182" s="27"/>
    </row>
    <row r="183" ht="15.75" customHeight="1">
      <c r="F183" s="2"/>
      <c r="M183" s="27"/>
    </row>
    <row r="184" ht="15.75" customHeight="1">
      <c r="F184" s="2"/>
      <c r="M184" s="27"/>
    </row>
    <row r="185" ht="15.75" customHeight="1">
      <c r="F185" s="2"/>
      <c r="M185" s="27"/>
    </row>
    <row r="186" ht="15.75" customHeight="1">
      <c r="F186" s="2"/>
      <c r="M186" s="27"/>
    </row>
    <row r="187" ht="15.75" customHeight="1">
      <c r="F187" s="2"/>
      <c r="M187" s="27"/>
    </row>
    <row r="188" ht="15.75" customHeight="1">
      <c r="F188" s="2"/>
      <c r="M188" s="27"/>
    </row>
    <row r="189" ht="15.75" customHeight="1">
      <c r="F189" s="2"/>
      <c r="M189" s="27"/>
    </row>
    <row r="190" ht="15.75" customHeight="1">
      <c r="F190" s="2"/>
      <c r="M190" s="27"/>
    </row>
    <row r="191" ht="15.75" customHeight="1">
      <c r="F191" s="2"/>
      <c r="M191" s="27"/>
    </row>
    <row r="192" ht="15.75" customHeight="1">
      <c r="F192" s="2"/>
      <c r="M192" s="27"/>
    </row>
    <row r="193" ht="15.75" customHeight="1">
      <c r="F193" s="2"/>
      <c r="M193" s="27"/>
    </row>
    <row r="194" ht="15.75" customHeight="1">
      <c r="F194" s="2"/>
      <c r="M194" s="27"/>
    </row>
    <row r="195" ht="15.75" customHeight="1">
      <c r="F195" s="2"/>
      <c r="M195" s="27"/>
    </row>
    <row r="196" ht="15.75" customHeight="1">
      <c r="F196" s="2"/>
      <c r="M196" s="27"/>
    </row>
    <row r="197" ht="15.75" customHeight="1">
      <c r="F197" s="2"/>
      <c r="M197" s="27"/>
    </row>
    <row r="198" ht="15.75" customHeight="1">
      <c r="F198" s="2"/>
      <c r="M198" s="27"/>
    </row>
    <row r="199" ht="15.75" customHeight="1">
      <c r="F199" s="2"/>
      <c r="M199" s="27"/>
    </row>
    <row r="200" ht="15.75" customHeight="1">
      <c r="F200" s="2"/>
      <c r="M200" s="27"/>
    </row>
    <row r="201" ht="15.75" customHeight="1">
      <c r="F201" s="2"/>
      <c r="M201" s="27"/>
    </row>
    <row r="202" ht="15.75" customHeight="1">
      <c r="F202" s="2"/>
      <c r="M202" s="27"/>
    </row>
    <row r="203" ht="15.75" customHeight="1">
      <c r="F203" s="2"/>
      <c r="M203" s="27"/>
    </row>
    <row r="204" ht="15.75" customHeight="1">
      <c r="F204" s="2"/>
      <c r="M204" s="27"/>
    </row>
    <row r="205" ht="15.75" customHeight="1">
      <c r="F205" s="2"/>
      <c r="M205" s="27"/>
    </row>
    <row r="206" ht="15.75" customHeight="1">
      <c r="F206" s="2"/>
      <c r="M206" s="27"/>
    </row>
    <row r="207" ht="15.75" customHeight="1">
      <c r="F207" s="2"/>
      <c r="M207" s="27"/>
    </row>
    <row r="208" ht="15.75" customHeight="1">
      <c r="F208" s="2"/>
      <c r="M208" s="27"/>
    </row>
    <row r="209" ht="15.75" customHeight="1">
      <c r="F209" s="2"/>
      <c r="M209" s="27"/>
    </row>
    <row r="210" ht="15.75" customHeight="1">
      <c r="F210" s="2"/>
      <c r="M210" s="27"/>
    </row>
    <row r="211" ht="15.75" customHeight="1">
      <c r="F211" s="2"/>
      <c r="M211" s="27"/>
    </row>
    <row r="212" ht="15.75" customHeight="1">
      <c r="F212" s="2"/>
      <c r="M212" s="27"/>
    </row>
    <row r="213" ht="15.75" customHeight="1">
      <c r="F213" s="2"/>
      <c r="M213" s="27"/>
    </row>
    <row r="214" ht="15.75" customHeight="1">
      <c r="F214" s="2"/>
      <c r="M214" s="27"/>
    </row>
    <row r="215" ht="15.75" customHeight="1">
      <c r="F215" s="2"/>
      <c r="M215" s="27"/>
    </row>
    <row r="216" ht="15.75" customHeight="1">
      <c r="F216" s="2"/>
      <c r="M216" s="27"/>
    </row>
    <row r="217" ht="15.75" customHeight="1">
      <c r="F217" s="2"/>
      <c r="M217" s="27"/>
    </row>
    <row r="218" ht="15.75" customHeight="1">
      <c r="F218" s="2"/>
      <c r="M218" s="27"/>
    </row>
    <row r="219" ht="15.75" customHeight="1">
      <c r="F219" s="2"/>
      <c r="M219" s="27"/>
    </row>
    <row r="220" ht="15.75" customHeight="1">
      <c r="F220" s="2"/>
      <c r="M220" s="27"/>
    </row>
    <row r="221" ht="15.75" customHeight="1">
      <c r="F221" s="2"/>
      <c r="M221" s="27"/>
    </row>
    <row r="222" ht="15.75" customHeight="1">
      <c r="F222" s="2"/>
      <c r="M222" s="27"/>
    </row>
    <row r="223" ht="15.75" customHeight="1">
      <c r="F223" s="2"/>
      <c r="M223" s="27"/>
    </row>
    <row r="224" ht="15.75" customHeight="1">
      <c r="F224" s="2"/>
      <c r="M224" s="27"/>
    </row>
    <row r="225" ht="15.75" customHeight="1">
      <c r="F225" s="2"/>
      <c r="M225" s="27"/>
    </row>
    <row r="226" ht="15.75" customHeight="1">
      <c r="F226" s="2"/>
      <c r="M226" s="27"/>
    </row>
    <row r="227" ht="15.75" customHeight="1">
      <c r="F227" s="2"/>
      <c r="M227" s="27"/>
    </row>
    <row r="228" ht="15.75" customHeight="1">
      <c r="F228" s="2"/>
      <c r="M228" s="27"/>
    </row>
    <row r="229" ht="15.75" customHeight="1">
      <c r="F229" s="2"/>
      <c r="M229" s="27"/>
    </row>
    <row r="230" ht="15.75" customHeight="1">
      <c r="F230" s="2"/>
      <c r="M230" s="27"/>
    </row>
    <row r="231" ht="15.75" customHeight="1">
      <c r="F231" s="2"/>
      <c r="M231" s="27"/>
    </row>
    <row r="232" ht="15.75" customHeight="1">
      <c r="F232" s="2"/>
      <c r="M232" s="27"/>
    </row>
    <row r="233" ht="15.75" customHeight="1">
      <c r="F233" s="2"/>
      <c r="M233" s="27"/>
    </row>
    <row r="234" ht="15.75" customHeight="1">
      <c r="F234" s="2"/>
      <c r="M234" s="27"/>
    </row>
    <row r="235" ht="15.75" customHeight="1">
      <c r="F235" s="2"/>
      <c r="M235" s="27"/>
    </row>
    <row r="236" ht="15.75" customHeight="1">
      <c r="F236" s="2"/>
      <c r="M236" s="27"/>
    </row>
    <row r="237" ht="15.75" customHeight="1">
      <c r="F237" s="2"/>
      <c r="M237" s="27"/>
    </row>
    <row r="238" ht="15.75" customHeight="1">
      <c r="F238" s="2"/>
      <c r="M238" s="27"/>
    </row>
    <row r="239" ht="15.75" customHeight="1">
      <c r="F239" s="2"/>
      <c r="M239" s="27"/>
    </row>
    <row r="240" ht="15.75" customHeight="1">
      <c r="F240" s="2"/>
      <c r="M240" s="27"/>
    </row>
    <row r="241" ht="15.75" customHeight="1">
      <c r="F241" s="2"/>
      <c r="M241" s="27"/>
    </row>
    <row r="242" ht="15.75" customHeight="1">
      <c r="F242" s="2"/>
      <c r="M242" s="27"/>
    </row>
    <row r="243" ht="15.75" customHeight="1">
      <c r="F243" s="2"/>
      <c r="M243" s="27"/>
    </row>
    <row r="244" ht="15.75" customHeight="1">
      <c r="F244" s="2"/>
      <c r="M244" s="27"/>
    </row>
    <row r="245" ht="15.75" customHeight="1">
      <c r="F245" s="2"/>
      <c r="M245" s="27"/>
    </row>
    <row r="246" ht="15.75" customHeight="1">
      <c r="F246" s="2"/>
      <c r="M246" s="27"/>
    </row>
    <row r="247" ht="15.75" customHeight="1">
      <c r="F247" s="2"/>
      <c r="M247" s="27"/>
    </row>
    <row r="248" ht="15.75" customHeight="1">
      <c r="F248" s="2"/>
      <c r="M248" s="27"/>
    </row>
    <row r="249" ht="15.75" customHeight="1">
      <c r="F249" s="2"/>
      <c r="M249" s="27"/>
    </row>
    <row r="250" ht="15.75" customHeight="1">
      <c r="F250" s="2"/>
      <c r="M250" s="27"/>
    </row>
    <row r="251" ht="15.75" customHeight="1">
      <c r="F251" s="2"/>
      <c r="M251" s="27"/>
    </row>
    <row r="252" ht="15.75" customHeight="1">
      <c r="F252" s="2"/>
      <c r="M252" s="27"/>
    </row>
    <row r="253" ht="15.75" customHeight="1">
      <c r="F253" s="2"/>
      <c r="M253" s="27"/>
    </row>
    <row r="254" ht="15.75" customHeight="1">
      <c r="F254" s="2"/>
      <c r="M254" s="27"/>
    </row>
    <row r="255" ht="15.75" customHeight="1">
      <c r="F255" s="2"/>
      <c r="M255" s="27"/>
    </row>
    <row r="256" ht="15.75" customHeight="1">
      <c r="F256" s="2"/>
      <c r="M256" s="27"/>
    </row>
    <row r="257" ht="15.75" customHeight="1">
      <c r="F257" s="2"/>
      <c r="M257" s="27"/>
    </row>
    <row r="258" ht="15.75" customHeight="1">
      <c r="F258" s="2"/>
      <c r="M258" s="27"/>
    </row>
    <row r="259" ht="15.75" customHeight="1">
      <c r="F259" s="2"/>
      <c r="M259" s="27"/>
    </row>
    <row r="260" ht="15.75" customHeight="1">
      <c r="F260" s="2"/>
      <c r="M260" s="27"/>
    </row>
    <row r="261" ht="15.75" customHeight="1">
      <c r="F261" s="2"/>
      <c r="M261" s="27"/>
    </row>
    <row r="262" ht="15.75" customHeight="1">
      <c r="F262" s="2"/>
      <c r="M262" s="27"/>
    </row>
    <row r="263" ht="15.75" customHeight="1">
      <c r="F263" s="2"/>
      <c r="M263" s="27"/>
    </row>
    <row r="264" ht="15.75" customHeight="1">
      <c r="F264" s="2"/>
      <c r="M264" s="27"/>
    </row>
    <row r="265" ht="15.75" customHeight="1">
      <c r="F265" s="2"/>
      <c r="M265" s="27"/>
    </row>
    <row r="266" ht="15.75" customHeight="1">
      <c r="F266" s="2"/>
      <c r="M266" s="27"/>
    </row>
    <row r="267" ht="15.75" customHeight="1">
      <c r="F267" s="2"/>
      <c r="M267" s="27"/>
    </row>
    <row r="268" ht="15.75" customHeight="1">
      <c r="F268" s="2"/>
      <c r="M268" s="27"/>
    </row>
    <row r="269" ht="15.75" customHeight="1">
      <c r="F269" s="2"/>
      <c r="M269" s="27"/>
    </row>
    <row r="270" ht="15.75" customHeight="1">
      <c r="F270" s="2"/>
      <c r="M270" s="27"/>
    </row>
    <row r="271" ht="15.75" customHeight="1">
      <c r="F271" s="27"/>
      <c r="M271" s="27"/>
    </row>
    <row r="272" ht="15.75" customHeight="1">
      <c r="F272" s="27"/>
      <c r="M272" s="27"/>
    </row>
    <row r="273" ht="15.75" customHeight="1">
      <c r="F273" s="27"/>
      <c r="M273" s="27"/>
    </row>
    <row r="274" ht="15.75" customHeight="1">
      <c r="F274" s="27"/>
      <c r="M274" s="27"/>
    </row>
    <row r="275" ht="15.75" customHeight="1">
      <c r="F275" s="27"/>
      <c r="M275" s="27"/>
    </row>
    <row r="276" ht="15.75" customHeight="1">
      <c r="F276" s="27"/>
      <c r="M276" s="27"/>
    </row>
    <row r="277" ht="15.75" customHeight="1">
      <c r="F277" s="27"/>
      <c r="M277" s="27"/>
    </row>
    <row r="278" ht="15.75" customHeight="1">
      <c r="F278" s="27"/>
      <c r="M278" s="27"/>
    </row>
    <row r="279" ht="15.75" customHeight="1">
      <c r="F279" s="27"/>
      <c r="M279" s="27"/>
    </row>
    <row r="280" ht="15.75" customHeight="1">
      <c r="F280" s="27"/>
      <c r="M280" s="27"/>
    </row>
    <row r="281" ht="15.75" customHeight="1">
      <c r="F281" s="27"/>
      <c r="M281" s="27"/>
    </row>
    <row r="282" ht="15.75" customHeight="1">
      <c r="F282" s="27"/>
      <c r="M282" s="27"/>
    </row>
    <row r="283" ht="15.75" customHeight="1">
      <c r="F283" s="27"/>
      <c r="M283" s="27"/>
    </row>
    <row r="284" ht="15.75" customHeight="1">
      <c r="F284" s="27"/>
      <c r="M284" s="27"/>
    </row>
    <row r="285" ht="15.75" customHeight="1">
      <c r="F285" s="27"/>
      <c r="M285" s="27"/>
    </row>
    <row r="286" ht="15.75" customHeight="1">
      <c r="F286" s="27"/>
      <c r="M286" s="27"/>
    </row>
    <row r="287" ht="15.75" customHeight="1">
      <c r="F287" s="27"/>
      <c r="M287" s="27"/>
    </row>
    <row r="288" ht="15.75" customHeight="1">
      <c r="F288" s="27"/>
      <c r="M288" s="27"/>
    </row>
    <row r="289" ht="15.75" customHeight="1">
      <c r="F289" s="27"/>
      <c r="M289" s="27"/>
    </row>
    <row r="290" ht="15.75" customHeight="1">
      <c r="F290" s="27"/>
      <c r="M290" s="27"/>
    </row>
    <row r="291" ht="15.75" customHeight="1">
      <c r="F291" s="27"/>
      <c r="M291" s="27"/>
    </row>
    <row r="292" ht="15.75" customHeight="1">
      <c r="F292" s="27"/>
      <c r="M292" s="27"/>
    </row>
    <row r="293" ht="15.75" customHeight="1">
      <c r="F293" s="27"/>
      <c r="M293" s="27"/>
    </row>
    <row r="294" ht="15.75" customHeight="1">
      <c r="F294" s="27"/>
      <c r="M294" s="27"/>
    </row>
    <row r="295" ht="15.75" customHeight="1">
      <c r="F295" s="27"/>
      <c r="M295" s="27"/>
    </row>
    <row r="296" ht="15.75" customHeight="1">
      <c r="F296" s="27"/>
      <c r="M296" s="27"/>
    </row>
    <row r="297" ht="15.75" customHeight="1">
      <c r="F297" s="27"/>
      <c r="M297" s="27"/>
    </row>
    <row r="298" ht="15.75" customHeight="1">
      <c r="F298" s="27"/>
      <c r="M298" s="27"/>
    </row>
    <row r="299" ht="15.75" customHeight="1">
      <c r="F299" s="27"/>
      <c r="M299" s="27"/>
    </row>
    <row r="300" ht="15.75" customHeight="1">
      <c r="F300" s="27"/>
      <c r="M300" s="27"/>
    </row>
    <row r="301" ht="15.75" customHeight="1">
      <c r="F301" s="27"/>
      <c r="M301" s="27"/>
    </row>
    <row r="302" ht="15.75" customHeight="1">
      <c r="F302" s="27"/>
      <c r="M302" s="27"/>
    </row>
    <row r="303" ht="15.75" customHeight="1">
      <c r="F303" s="27"/>
      <c r="M303" s="27"/>
    </row>
    <row r="304" ht="15.75" customHeight="1">
      <c r="F304" s="27"/>
      <c r="M304" s="27"/>
    </row>
    <row r="305" ht="15.75" customHeight="1">
      <c r="F305" s="27"/>
      <c r="M305" s="27"/>
    </row>
    <row r="306" ht="15.75" customHeight="1">
      <c r="F306" s="27"/>
      <c r="M306" s="27"/>
    </row>
    <row r="307" ht="15.75" customHeight="1">
      <c r="F307" s="27"/>
      <c r="M307" s="27"/>
    </row>
    <row r="308" ht="15.75" customHeight="1">
      <c r="F308" s="27"/>
      <c r="M308" s="27"/>
    </row>
    <row r="309" ht="15.75" customHeight="1">
      <c r="F309" s="27"/>
      <c r="M309" s="27"/>
    </row>
    <row r="310" ht="15.75" customHeight="1">
      <c r="F310" s="27"/>
      <c r="M310" s="27"/>
    </row>
    <row r="311" ht="15.75" customHeight="1">
      <c r="F311" s="27"/>
      <c r="M311" s="27"/>
    </row>
    <row r="312" ht="15.75" customHeight="1">
      <c r="F312" s="27"/>
      <c r="M312" s="27"/>
    </row>
    <row r="313" ht="15.75" customHeight="1">
      <c r="F313" s="27"/>
      <c r="M313" s="27"/>
    </row>
    <row r="314" ht="15.75" customHeight="1">
      <c r="F314" s="27"/>
      <c r="M314" s="27"/>
    </row>
    <row r="315" ht="15.75" customHeight="1">
      <c r="F315" s="27"/>
      <c r="M315" s="27"/>
    </row>
    <row r="316" ht="15.75" customHeight="1">
      <c r="F316" s="27"/>
      <c r="M316" s="27"/>
    </row>
    <row r="317" ht="15.75" customHeight="1">
      <c r="F317" s="27"/>
      <c r="M317" s="27"/>
    </row>
    <row r="318" ht="15.75" customHeight="1">
      <c r="F318" s="27"/>
      <c r="M318" s="27"/>
    </row>
    <row r="319" ht="15.75" customHeight="1">
      <c r="F319" s="27"/>
      <c r="M319" s="27"/>
    </row>
    <row r="320" ht="15.75" customHeight="1">
      <c r="F320" s="27"/>
      <c r="M320" s="27"/>
    </row>
    <row r="321" ht="15.75" customHeight="1">
      <c r="F321" s="27"/>
      <c r="M321" s="27"/>
    </row>
    <row r="322" ht="15.75" customHeight="1">
      <c r="F322" s="27"/>
      <c r="M322" s="27"/>
    </row>
    <row r="323" ht="15.75" customHeight="1">
      <c r="F323" s="27"/>
      <c r="M323" s="27"/>
    </row>
    <row r="324" ht="15.75" customHeight="1">
      <c r="F324" s="27"/>
      <c r="M324" s="27"/>
    </row>
    <row r="325" ht="15.75" customHeight="1">
      <c r="F325" s="27"/>
      <c r="M325" s="27"/>
    </row>
    <row r="326" ht="15.75" customHeight="1">
      <c r="F326" s="27"/>
      <c r="M326" s="27"/>
    </row>
    <row r="327" ht="15.75" customHeight="1">
      <c r="F327" s="27"/>
      <c r="M327" s="27"/>
    </row>
    <row r="328" ht="15.75" customHeight="1">
      <c r="F328" s="27"/>
      <c r="M328" s="27"/>
    </row>
    <row r="329" ht="15.75" customHeight="1">
      <c r="F329" s="27"/>
      <c r="M329" s="27"/>
    </row>
    <row r="330" ht="15.75" customHeight="1">
      <c r="F330" s="27"/>
      <c r="M330" s="27"/>
    </row>
    <row r="331" ht="15.75" customHeight="1">
      <c r="F331" s="27"/>
      <c r="M331" s="27"/>
    </row>
    <row r="332" ht="15.75" customHeight="1">
      <c r="F332" s="27"/>
      <c r="M332" s="27"/>
    </row>
    <row r="333" ht="15.75" customHeight="1">
      <c r="F333" s="27"/>
      <c r="M333" s="27"/>
    </row>
    <row r="334" ht="15.75" customHeight="1">
      <c r="F334" s="27"/>
      <c r="M334" s="27"/>
    </row>
    <row r="335" ht="15.75" customHeight="1">
      <c r="F335" s="27"/>
      <c r="M335" s="27"/>
    </row>
    <row r="336" ht="15.75" customHeight="1">
      <c r="F336" s="27"/>
      <c r="M336" s="27"/>
    </row>
    <row r="337" ht="15.75" customHeight="1">
      <c r="F337" s="27"/>
      <c r="M337" s="27"/>
    </row>
    <row r="338" ht="15.75" customHeight="1">
      <c r="F338" s="27"/>
      <c r="M338" s="27"/>
    </row>
    <row r="339" ht="15.75" customHeight="1">
      <c r="F339" s="27"/>
      <c r="M339" s="27"/>
    </row>
    <row r="340" ht="15.75" customHeight="1">
      <c r="F340" s="27"/>
      <c r="M340" s="27"/>
    </row>
    <row r="341" ht="15.75" customHeight="1">
      <c r="F341" s="27"/>
      <c r="M341" s="27"/>
    </row>
    <row r="342" ht="15.75" customHeight="1">
      <c r="F342" s="27"/>
      <c r="M342" s="27"/>
    </row>
    <row r="343" ht="15.75" customHeight="1">
      <c r="F343" s="27"/>
      <c r="M343" s="27"/>
    </row>
    <row r="344" ht="15.75" customHeight="1">
      <c r="F344" s="27"/>
      <c r="M344" s="27"/>
    </row>
    <row r="345" ht="15.75" customHeight="1">
      <c r="F345" s="27"/>
      <c r="M345" s="27"/>
    </row>
    <row r="346" ht="15.75" customHeight="1">
      <c r="F346" s="27"/>
      <c r="M346" s="27"/>
    </row>
    <row r="347" ht="15.75" customHeight="1">
      <c r="F347" s="27"/>
      <c r="M347" s="27"/>
    </row>
    <row r="348" ht="15.75" customHeight="1">
      <c r="F348" s="27"/>
      <c r="M348" s="27"/>
    </row>
    <row r="349" ht="15.75" customHeight="1">
      <c r="F349" s="27"/>
      <c r="M349" s="27"/>
    </row>
    <row r="350" ht="15.75" customHeight="1">
      <c r="F350" s="27"/>
      <c r="M350" s="27"/>
    </row>
    <row r="351" ht="15.75" customHeight="1">
      <c r="F351" s="27"/>
      <c r="M351" s="27"/>
    </row>
    <row r="352" ht="15.75" customHeight="1">
      <c r="F352" s="27"/>
      <c r="M352" s="27"/>
    </row>
    <row r="353" ht="15.75" customHeight="1">
      <c r="F353" s="27"/>
      <c r="M353" s="27"/>
    </row>
    <row r="354" ht="15.75" customHeight="1">
      <c r="F354" s="27"/>
      <c r="M354" s="27"/>
    </row>
    <row r="355" ht="15.75" customHeight="1">
      <c r="F355" s="27"/>
      <c r="M355" s="27"/>
    </row>
    <row r="356" ht="15.75" customHeight="1">
      <c r="F356" s="27"/>
      <c r="M356" s="27"/>
    </row>
    <row r="357" ht="15.75" customHeight="1">
      <c r="F357" s="27"/>
      <c r="M357" s="27"/>
    </row>
    <row r="358" ht="15.75" customHeight="1">
      <c r="F358" s="27"/>
      <c r="M358" s="27"/>
    </row>
    <row r="359" ht="15.75" customHeight="1">
      <c r="F359" s="27"/>
      <c r="M359" s="27"/>
    </row>
    <row r="360" ht="15.75" customHeight="1">
      <c r="F360" s="27"/>
      <c r="M360" s="27"/>
    </row>
    <row r="361" ht="15.75" customHeight="1">
      <c r="F361" s="27"/>
      <c r="M361" s="27"/>
    </row>
    <row r="362" ht="15.75" customHeight="1">
      <c r="F362" s="27"/>
      <c r="M362" s="27"/>
    </row>
    <row r="363" ht="15.75" customHeight="1">
      <c r="F363" s="27"/>
      <c r="M363" s="27"/>
    </row>
    <row r="364" ht="15.75" customHeight="1">
      <c r="F364" s="27"/>
      <c r="M364" s="27"/>
    </row>
    <row r="365" ht="15.75" customHeight="1">
      <c r="F365" s="27"/>
      <c r="M365" s="27"/>
    </row>
    <row r="366" ht="15.75" customHeight="1">
      <c r="F366" s="27"/>
      <c r="M366" s="27"/>
    </row>
    <row r="367" ht="15.75" customHeight="1">
      <c r="F367" s="27"/>
      <c r="M367" s="27"/>
    </row>
    <row r="368" ht="15.75" customHeight="1">
      <c r="F368" s="27"/>
      <c r="M368" s="27"/>
    </row>
    <row r="369" ht="15.75" customHeight="1">
      <c r="F369" s="27"/>
      <c r="M369" s="27"/>
    </row>
    <row r="370" ht="15.75" customHeight="1">
      <c r="F370" s="27"/>
      <c r="M370" s="27"/>
    </row>
    <row r="371" ht="15.75" customHeight="1">
      <c r="F371" s="27"/>
      <c r="M371" s="27"/>
    </row>
    <row r="372" ht="15.75" customHeight="1">
      <c r="F372" s="27"/>
      <c r="M372" s="27"/>
    </row>
    <row r="373" ht="15.75" customHeight="1">
      <c r="F373" s="27"/>
      <c r="M373" s="27"/>
    </row>
    <row r="374" ht="15.75" customHeight="1">
      <c r="F374" s="27"/>
      <c r="M374" s="27"/>
    </row>
    <row r="375" ht="15.75" customHeight="1">
      <c r="F375" s="27"/>
      <c r="M375" s="27"/>
    </row>
    <row r="376" ht="15.75" customHeight="1">
      <c r="F376" s="27"/>
      <c r="M376" s="27"/>
    </row>
    <row r="377" ht="15.75" customHeight="1">
      <c r="F377" s="27"/>
      <c r="M377" s="27"/>
    </row>
    <row r="378" ht="15.75" customHeight="1">
      <c r="F378" s="27"/>
      <c r="M378" s="27"/>
    </row>
    <row r="379" ht="15.75" customHeight="1">
      <c r="F379" s="27"/>
      <c r="M379" s="27"/>
    </row>
    <row r="380" ht="15.75" customHeight="1">
      <c r="F380" s="27"/>
      <c r="M380" s="27"/>
    </row>
    <row r="381" ht="15.75" customHeight="1">
      <c r="F381" s="27"/>
      <c r="M381" s="27"/>
    </row>
    <row r="382" ht="15.75" customHeight="1">
      <c r="F382" s="27"/>
      <c r="M382" s="27"/>
    </row>
    <row r="383" ht="15.75" customHeight="1">
      <c r="F383" s="27"/>
      <c r="M383" s="27"/>
    </row>
    <row r="384" ht="15.75" customHeight="1">
      <c r="F384" s="27"/>
      <c r="M384" s="27"/>
    </row>
    <row r="385" ht="15.75" customHeight="1">
      <c r="F385" s="27"/>
      <c r="M385" s="27"/>
    </row>
    <row r="386" ht="15.75" customHeight="1">
      <c r="F386" s="27"/>
      <c r="M386" s="27"/>
    </row>
    <row r="387" ht="15.75" customHeight="1">
      <c r="F387" s="27"/>
      <c r="M387" s="27"/>
    </row>
    <row r="388" ht="15.75" customHeight="1">
      <c r="F388" s="27"/>
      <c r="M388" s="27"/>
    </row>
    <row r="389" ht="15.75" customHeight="1">
      <c r="F389" s="27"/>
      <c r="M389" s="27"/>
    </row>
    <row r="390" ht="15.75" customHeight="1">
      <c r="F390" s="27"/>
      <c r="M390" s="27"/>
    </row>
    <row r="391" ht="15.75" customHeight="1">
      <c r="F391" s="27"/>
      <c r="M391" s="27"/>
    </row>
    <row r="392" ht="15.75" customHeight="1">
      <c r="F392" s="27"/>
      <c r="M392" s="27"/>
    </row>
    <row r="393" ht="15.75" customHeight="1">
      <c r="F393" s="27"/>
      <c r="M393" s="27"/>
    </row>
    <row r="394" ht="15.75" customHeight="1">
      <c r="F394" s="27"/>
      <c r="M394" s="27"/>
    </row>
    <row r="395" ht="15.75" customHeight="1">
      <c r="F395" s="27"/>
      <c r="M395" s="27"/>
    </row>
    <row r="396" ht="15.75" customHeight="1">
      <c r="F396" s="27"/>
      <c r="M396" s="27"/>
    </row>
    <row r="397" ht="15.75" customHeight="1">
      <c r="F397" s="27"/>
      <c r="M397" s="27"/>
    </row>
    <row r="398" ht="15.75" customHeight="1">
      <c r="F398" s="27"/>
      <c r="M398" s="27"/>
    </row>
    <row r="399" ht="15.75" customHeight="1">
      <c r="F399" s="27"/>
      <c r="M399" s="27"/>
    </row>
    <row r="400" ht="15.75" customHeight="1">
      <c r="F400" s="27"/>
      <c r="M400" s="27"/>
    </row>
    <row r="401" ht="15.75" customHeight="1">
      <c r="F401" s="27"/>
      <c r="M401" s="27"/>
    </row>
    <row r="402" ht="15.75" customHeight="1">
      <c r="F402" s="27"/>
      <c r="M402" s="27"/>
    </row>
    <row r="403" ht="15.75" customHeight="1">
      <c r="F403" s="27"/>
      <c r="M403" s="27"/>
    </row>
    <row r="404" ht="15.75" customHeight="1">
      <c r="F404" s="27"/>
      <c r="M404" s="27"/>
    </row>
    <row r="405" ht="15.75" customHeight="1">
      <c r="F405" s="27"/>
      <c r="M405" s="27"/>
    </row>
    <row r="406" ht="15.75" customHeight="1">
      <c r="F406" s="27"/>
      <c r="M406" s="27"/>
    </row>
    <row r="407" ht="15.75" customHeight="1">
      <c r="F407" s="27"/>
      <c r="M407" s="27"/>
    </row>
    <row r="408" ht="15.75" customHeight="1">
      <c r="F408" s="27"/>
      <c r="M408" s="27"/>
    </row>
    <row r="409" ht="15.75" customHeight="1">
      <c r="F409" s="27"/>
      <c r="M409" s="27"/>
    </row>
    <row r="410" ht="15.75" customHeight="1">
      <c r="F410" s="27"/>
      <c r="M410" s="27"/>
    </row>
    <row r="411" ht="15.75" customHeight="1">
      <c r="F411" s="27"/>
      <c r="M411" s="27"/>
    </row>
    <row r="412" ht="15.75" customHeight="1">
      <c r="F412" s="27"/>
      <c r="M412" s="27"/>
    </row>
    <row r="413" ht="15.75" customHeight="1">
      <c r="F413" s="27"/>
      <c r="M413" s="27"/>
    </row>
    <row r="414" ht="15.75" customHeight="1">
      <c r="F414" s="27"/>
      <c r="M414" s="27"/>
    </row>
    <row r="415" ht="15.75" customHeight="1">
      <c r="F415" s="27"/>
      <c r="M415" s="27"/>
    </row>
    <row r="416" ht="15.75" customHeight="1">
      <c r="F416" s="27"/>
      <c r="M416" s="27"/>
    </row>
    <row r="417" ht="15.75" customHeight="1">
      <c r="F417" s="27"/>
      <c r="M417" s="27"/>
    </row>
    <row r="418" ht="15.75" customHeight="1">
      <c r="F418" s="27"/>
      <c r="M418" s="27"/>
    </row>
    <row r="419" ht="15.75" customHeight="1">
      <c r="F419" s="27"/>
      <c r="M419" s="27"/>
    </row>
    <row r="420" ht="15.75" customHeight="1">
      <c r="F420" s="27"/>
      <c r="M420" s="27"/>
    </row>
    <row r="421" ht="15.75" customHeight="1">
      <c r="F421" s="27"/>
      <c r="M421" s="27"/>
    </row>
    <row r="422" ht="15.75" customHeight="1">
      <c r="F422" s="27"/>
      <c r="M422" s="27"/>
    </row>
    <row r="423" ht="15.75" customHeight="1">
      <c r="F423" s="27"/>
      <c r="M423" s="27"/>
    </row>
    <row r="424" ht="15.75" customHeight="1">
      <c r="F424" s="27"/>
      <c r="M424" s="27"/>
    </row>
    <row r="425" ht="15.75" customHeight="1">
      <c r="F425" s="27"/>
      <c r="M425" s="27"/>
    </row>
    <row r="426" ht="15.75" customHeight="1">
      <c r="F426" s="27"/>
      <c r="M426" s="27"/>
    </row>
    <row r="427" ht="15.75" customHeight="1">
      <c r="F427" s="27"/>
      <c r="M427" s="27"/>
    </row>
    <row r="428" ht="15.75" customHeight="1">
      <c r="F428" s="27"/>
      <c r="M428" s="27"/>
    </row>
    <row r="429" ht="15.75" customHeight="1">
      <c r="F429" s="27"/>
      <c r="M429" s="27"/>
    </row>
    <row r="430" ht="15.75" customHeight="1">
      <c r="F430" s="27"/>
      <c r="M430" s="27"/>
    </row>
    <row r="431" ht="15.75" customHeight="1">
      <c r="F431" s="27"/>
      <c r="M431" s="27"/>
    </row>
    <row r="432" ht="15.75" customHeight="1">
      <c r="F432" s="27"/>
      <c r="M432" s="27"/>
    </row>
    <row r="433" ht="15.75" customHeight="1">
      <c r="F433" s="27"/>
      <c r="M433" s="27"/>
    </row>
    <row r="434" ht="15.75" customHeight="1">
      <c r="F434" s="27"/>
      <c r="M434" s="27"/>
    </row>
    <row r="435" ht="15.75" customHeight="1">
      <c r="F435" s="27"/>
      <c r="M435" s="27"/>
    </row>
    <row r="436" ht="15.75" customHeight="1">
      <c r="F436" s="27"/>
      <c r="M436" s="27"/>
    </row>
    <row r="437" ht="15.75" customHeight="1">
      <c r="F437" s="27"/>
      <c r="M437" s="27"/>
    </row>
    <row r="438" ht="15.75" customHeight="1">
      <c r="F438" s="27"/>
      <c r="M438" s="27"/>
    </row>
    <row r="439" ht="15.75" customHeight="1">
      <c r="F439" s="27"/>
      <c r="M439" s="27"/>
    </row>
    <row r="440" ht="15.75" customHeight="1">
      <c r="F440" s="27"/>
      <c r="M440" s="27"/>
    </row>
    <row r="441" ht="15.75" customHeight="1">
      <c r="F441" s="27"/>
      <c r="M441" s="27"/>
    </row>
    <row r="442" ht="15.75" customHeight="1">
      <c r="F442" s="27"/>
      <c r="M442" s="27"/>
    </row>
    <row r="443" ht="15.75" customHeight="1">
      <c r="F443" s="27"/>
      <c r="M443" s="27"/>
    </row>
    <row r="444" ht="15.75" customHeight="1">
      <c r="F444" s="27"/>
      <c r="M444" s="27"/>
    </row>
    <row r="445" ht="15.75" customHeight="1">
      <c r="F445" s="27"/>
      <c r="M445" s="27"/>
    </row>
    <row r="446" ht="15.75" customHeight="1">
      <c r="F446" s="27"/>
      <c r="M446" s="27"/>
    </row>
    <row r="447" ht="15.75" customHeight="1">
      <c r="F447" s="27"/>
      <c r="M447" s="27"/>
    </row>
    <row r="448" ht="15.75" customHeight="1">
      <c r="F448" s="27"/>
      <c r="M448" s="27"/>
    </row>
    <row r="449" ht="15.75" customHeight="1">
      <c r="F449" s="27"/>
      <c r="M449" s="27"/>
    </row>
    <row r="450" ht="15.75" customHeight="1">
      <c r="F450" s="27"/>
      <c r="M450" s="27"/>
    </row>
    <row r="451" ht="15.75" customHeight="1">
      <c r="F451" s="27"/>
      <c r="M451" s="27"/>
    </row>
    <row r="452" ht="15.75" customHeight="1">
      <c r="F452" s="27"/>
      <c r="M452" s="27"/>
    </row>
    <row r="453" ht="15.75" customHeight="1">
      <c r="F453" s="27"/>
      <c r="M453" s="27"/>
    </row>
    <row r="454" ht="15.75" customHeight="1">
      <c r="F454" s="27"/>
      <c r="M454" s="27"/>
    </row>
    <row r="455" ht="15.75" customHeight="1">
      <c r="F455" s="27"/>
      <c r="M455" s="27"/>
    </row>
    <row r="456" ht="15.75" customHeight="1">
      <c r="F456" s="27"/>
      <c r="M456" s="27"/>
    </row>
    <row r="457" ht="15.75" customHeight="1">
      <c r="F457" s="27"/>
      <c r="M457" s="27"/>
    </row>
    <row r="458" ht="15.75" customHeight="1">
      <c r="F458" s="27"/>
      <c r="M458" s="27"/>
    </row>
    <row r="459" ht="15.75" customHeight="1">
      <c r="F459" s="27"/>
      <c r="M459" s="27"/>
    </row>
    <row r="460" ht="15.75" customHeight="1">
      <c r="F460" s="27"/>
      <c r="M460" s="27"/>
    </row>
    <row r="461" ht="15.75" customHeight="1">
      <c r="F461" s="27"/>
      <c r="M461" s="27"/>
    </row>
    <row r="462" ht="15.75" customHeight="1">
      <c r="F462" s="27"/>
      <c r="M462" s="27"/>
    </row>
    <row r="463" ht="15.75" customHeight="1">
      <c r="F463" s="27"/>
      <c r="M463" s="27"/>
    </row>
    <row r="464" ht="15.75" customHeight="1">
      <c r="F464" s="27"/>
      <c r="M464" s="27"/>
    </row>
    <row r="465" ht="15.75" customHeight="1">
      <c r="F465" s="27"/>
      <c r="M465" s="27"/>
    </row>
    <row r="466" ht="15.75" customHeight="1">
      <c r="F466" s="27"/>
      <c r="M466" s="27"/>
    </row>
    <row r="467" ht="15.75" customHeight="1">
      <c r="F467" s="27"/>
      <c r="M467" s="27"/>
    </row>
    <row r="468" ht="15.75" customHeight="1">
      <c r="F468" s="27"/>
      <c r="M468" s="27"/>
    </row>
    <row r="469" ht="15.75" customHeight="1">
      <c r="F469" s="27"/>
      <c r="M469" s="27"/>
    </row>
    <row r="470" ht="15.75" customHeight="1">
      <c r="F470" s="27"/>
      <c r="M470" s="27"/>
    </row>
    <row r="471" ht="15.75" customHeight="1">
      <c r="F471" s="27"/>
      <c r="M471" s="27"/>
    </row>
    <row r="472" ht="15.75" customHeight="1">
      <c r="F472" s="27"/>
      <c r="M472" s="27"/>
    </row>
    <row r="473" ht="15.75" customHeight="1">
      <c r="F473" s="27"/>
      <c r="M473" s="27"/>
    </row>
    <row r="474" ht="15.75" customHeight="1">
      <c r="F474" s="27"/>
      <c r="M474" s="27"/>
    </row>
    <row r="475" ht="15.75" customHeight="1">
      <c r="F475" s="27"/>
      <c r="M475" s="27"/>
    </row>
    <row r="476" ht="15.75" customHeight="1">
      <c r="F476" s="27"/>
      <c r="M476" s="27"/>
    </row>
    <row r="477" ht="15.75" customHeight="1">
      <c r="F477" s="27"/>
      <c r="M477" s="27"/>
    </row>
    <row r="478" ht="15.75" customHeight="1">
      <c r="F478" s="27"/>
      <c r="M478" s="27"/>
    </row>
    <row r="479" ht="15.75" customHeight="1">
      <c r="F479" s="27"/>
      <c r="M479" s="27"/>
    </row>
    <row r="480" ht="15.75" customHeight="1">
      <c r="F480" s="27"/>
      <c r="M480" s="27"/>
    </row>
    <row r="481" ht="15.75" customHeight="1">
      <c r="F481" s="27"/>
      <c r="M481" s="27"/>
    </row>
    <row r="482" ht="15.75" customHeight="1">
      <c r="F482" s="27"/>
      <c r="M482" s="27"/>
    </row>
    <row r="483" ht="15.75" customHeight="1">
      <c r="F483" s="27"/>
      <c r="M483" s="27"/>
    </row>
    <row r="484" ht="15.75" customHeight="1">
      <c r="F484" s="27"/>
      <c r="M484" s="27"/>
    </row>
    <row r="485" ht="15.75" customHeight="1">
      <c r="F485" s="27"/>
      <c r="M485" s="27"/>
    </row>
    <row r="486" ht="15.75" customHeight="1">
      <c r="F486" s="27"/>
      <c r="M486" s="27"/>
    </row>
    <row r="487" ht="15.75" customHeight="1">
      <c r="F487" s="27"/>
      <c r="M487" s="27"/>
    </row>
    <row r="488" ht="15.75" customHeight="1">
      <c r="F488" s="27"/>
      <c r="M488" s="27"/>
    </row>
    <row r="489" ht="15.75" customHeight="1">
      <c r="F489" s="27"/>
      <c r="M489" s="27"/>
    </row>
    <row r="490" ht="15.75" customHeight="1">
      <c r="F490" s="27"/>
      <c r="M490" s="27"/>
    </row>
    <row r="491" ht="15.75" customHeight="1">
      <c r="F491" s="27"/>
      <c r="M491" s="27"/>
    </row>
    <row r="492" ht="15.75" customHeight="1">
      <c r="F492" s="27"/>
      <c r="M492" s="27"/>
    </row>
    <row r="493" ht="15.75" customHeight="1">
      <c r="F493" s="27"/>
      <c r="M493" s="27"/>
    </row>
    <row r="494" ht="15.75" customHeight="1">
      <c r="F494" s="27"/>
      <c r="M494" s="27"/>
    </row>
    <row r="495" ht="15.75" customHeight="1">
      <c r="F495" s="27"/>
      <c r="M495" s="27"/>
    </row>
    <row r="496" ht="15.75" customHeight="1">
      <c r="F496" s="27"/>
      <c r="M496" s="27"/>
    </row>
    <row r="497" ht="15.75" customHeight="1">
      <c r="F497" s="27"/>
      <c r="M497" s="27"/>
    </row>
    <row r="498" ht="15.75" customHeight="1">
      <c r="F498" s="27"/>
      <c r="M498" s="27"/>
    </row>
    <row r="499" ht="15.75" customHeight="1">
      <c r="F499" s="27"/>
      <c r="M499" s="27"/>
    </row>
    <row r="500" ht="15.75" customHeight="1">
      <c r="F500" s="27"/>
      <c r="M500" s="27"/>
    </row>
    <row r="501" ht="15.75" customHeight="1">
      <c r="F501" s="27"/>
      <c r="M501" s="27"/>
    </row>
    <row r="502" ht="15.75" customHeight="1">
      <c r="F502" s="27"/>
      <c r="M502" s="27"/>
    </row>
    <row r="503" ht="15.75" customHeight="1">
      <c r="F503" s="27"/>
      <c r="M503" s="27"/>
    </row>
    <row r="504" ht="15.75" customHeight="1">
      <c r="F504" s="27"/>
      <c r="M504" s="27"/>
    </row>
    <row r="505" ht="15.75" customHeight="1">
      <c r="F505" s="27"/>
      <c r="M505" s="27"/>
    </row>
    <row r="506" ht="15.75" customHeight="1">
      <c r="F506" s="27"/>
      <c r="M506" s="27"/>
    </row>
    <row r="507" ht="15.75" customHeight="1">
      <c r="F507" s="27"/>
      <c r="M507" s="27"/>
    </row>
    <row r="508" ht="15.75" customHeight="1">
      <c r="F508" s="27"/>
      <c r="M508" s="27"/>
    </row>
    <row r="509" ht="15.75" customHeight="1">
      <c r="F509" s="27"/>
      <c r="M509" s="27"/>
    </row>
    <row r="510" ht="15.75" customHeight="1">
      <c r="F510" s="27"/>
      <c r="M510" s="27"/>
    </row>
    <row r="511" ht="15.75" customHeight="1">
      <c r="F511" s="27"/>
      <c r="M511" s="27"/>
    </row>
    <row r="512" ht="15.75" customHeight="1">
      <c r="F512" s="27"/>
      <c r="M512" s="27"/>
    </row>
    <row r="513" ht="15.75" customHeight="1">
      <c r="F513" s="27"/>
      <c r="M513" s="27"/>
    </row>
    <row r="514" ht="15.75" customHeight="1">
      <c r="F514" s="27"/>
      <c r="M514" s="27"/>
    </row>
    <row r="515" ht="15.75" customHeight="1">
      <c r="F515" s="27"/>
      <c r="M515" s="27"/>
    </row>
    <row r="516" ht="15.75" customHeight="1">
      <c r="F516" s="27"/>
      <c r="M516" s="27"/>
    </row>
    <row r="517" ht="15.75" customHeight="1">
      <c r="F517" s="27"/>
      <c r="M517" s="27"/>
    </row>
    <row r="518" ht="15.75" customHeight="1">
      <c r="F518" s="27"/>
      <c r="M518" s="27"/>
    </row>
    <row r="519" ht="15.75" customHeight="1">
      <c r="F519" s="27"/>
      <c r="M519" s="27"/>
    </row>
    <row r="520" ht="15.75" customHeight="1">
      <c r="F520" s="27"/>
      <c r="M520" s="27"/>
    </row>
    <row r="521" ht="15.75" customHeight="1">
      <c r="F521" s="27"/>
      <c r="M521" s="27"/>
    </row>
    <row r="522" ht="15.75" customHeight="1">
      <c r="F522" s="27"/>
      <c r="M522" s="27"/>
    </row>
    <row r="523" ht="15.75" customHeight="1">
      <c r="F523" s="27"/>
      <c r="M523" s="27"/>
    </row>
    <row r="524" ht="15.75" customHeight="1">
      <c r="F524" s="27"/>
      <c r="M524" s="27"/>
    </row>
    <row r="525" ht="15.75" customHeight="1">
      <c r="F525" s="27"/>
      <c r="M525" s="27"/>
    </row>
    <row r="526" ht="15.75" customHeight="1">
      <c r="F526" s="27"/>
      <c r="M526" s="27"/>
    </row>
    <row r="527" ht="15.75" customHeight="1">
      <c r="F527" s="27"/>
      <c r="M527" s="27"/>
    </row>
    <row r="528" ht="15.75" customHeight="1">
      <c r="F528" s="27"/>
      <c r="M528" s="27"/>
    </row>
    <row r="529" ht="15.75" customHeight="1">
      <c r="F529" s="27"/>
      <c r="M529" s="27"/>
    </row>
    <row r="530" ht="15.75" customHeight="1">
      <c r="F530" s="27"/>
      <c r="M530" s="27"/>
    </row>
    <row r="531" ht="15.75" customHeight="1">
      <c r="F531" s="27"/>
      <c r="M531" s="27"/>
    </row>
    <row r="532" ht="15.75" customHeight="1">
      <c r="F532" s="27"/>
      <c r="M532" s="27"/>
    </row>
    <row r="533" ht="15.75" customHeight="1">
      <c r="F533" s="27"/>
      <c r="M533" s="27"/>
    </row>
    <row r="534" ht="15.75" customHeight="1">
      <c r="F534" s="27"/>
      <c r="M534" s="27"/>
    </row>
    <row r="535" ht="15.75" customHeight="1">
      <c r="F535" s="27"/>
      <c r="M535" s="27"/>
    </row>
    <row r="536" ht="15.75" customHeight="1">
      <c r="F536" s="27"/>
      <c r="M536" s="27"/>
    </row>
    <row r="537" ht="15.75" customHeight="1">
      <c r="F537" s="27"/>
      <c r="M537" s="27"/>
    </row>
    <row r="538" ht="15.75" customHeight="1">
      <c r="F538" s="27"/>
      <c r="M538" s="27"/>
    </row>
    <row r="539" ht="15.75" customHeight="1">
      <c r="F539" s="27"/>
      <c r="M539" s="27"/>
    </row>
    <row r="540" ht="15.75" customHeight="1">
      <c r="F540" s="27"/>
      <c r="M540" s="27"/>
    </row>
    <row r="541" ht="15.75" customHeight="1">
      <c r="F541" s="27"/>
      <c r="M541" s="27"/>
    </row>
    <row r="542" ht="15.75" customHeight="1">
      <c r="F542" s="27"/>
      <c r="M542" s="27"/>
    </row>
    <row r="543" ht="15.75" customHeight="1">
      <c r="F543" s="27"/>
      <c r="M543" s="27"/>
    </row>
    <row r="544" ht="15.75" customHeight="1">
      <c r="F544" s="27"/>
      <c r="M544" s="27"/>
    </row>
    <row r="545" ht="15.75" customHeight="1">
      <c r="F545" s="27"/>
      <c r="M545" s="27"/>
    </row>
    <row r="546" ht="15.75" customHeight="1">
      <c r="F546" s="27"/>
      <c r="M546" s="27"/>
    </row>
    <row r="547" ht="15.75" customHeight="1">
      <c r="F547" s="27"/>
      <c r="M547" s="27"/>
    </row>
    <row r="548" ht="15.75" customHeight="1">
      <c r="F548" s="27"/>
      <c r="M548" s="27"/>
    </row>
    <row r="549" ht="15.75" customHeight="1">
      <c r="F549" s="27"/>
      <c r="M549" s="27"/>
    </row>
    <row r="550" ht="15.75" customHeight="1">
      <c r="F550" s="27"/>
      <c r="M550" s="27"/>
    </row>
    <row r="551" ht="15.75" customHeight="1">
      <c r="F551" s="27"/>
      <c r="M551" s="27"/>
    </row>
    <row r="552" ht="15.75" customHeight="1">
      <c r="F552" s="27"/>
      <c r="M552" s="27"/>
    </row>
    <row r="553" ht="15.75" customHeight="1">
      <c r="F553" s="27"/>
      <c r="M553" s="27"/>
    </row>
    <row r="554" ht="15.75" customHeight="1">
      <c r="F554" s="27"/>
      <c r="M554" s="27"/>
    </row>
    <row r="555" ht="15.75" customHeight="1">
      <c r="F555" s="27"/>
      <c r="M555" s="27"/>
    </row>
    <row r="556" ht="15.75" customHeight="1">
      <c r="F556" s="27"/>
      <c r="M556" s="27"/>
    </row>
    <row r="557" ht="15.75" customHeight="1">
      <c r="F557" s="27"/>
      <c r="M557" s="27"/>
    </row>
    <row r="558" ht="15.75" customHeight="1">
      <c r="F558" s="27"/>
      <c r="M558" s="27"/>
    </row>
    <row r="559" ht="15.75" customHeight="1">
      <c r="F559" s="27"/>
      <c r="M559" s="27"/>
    </row>
    <row r="560" ht="15.75" customHeight="1">
      <c r="F560" s="27"/>
      <c r="M560" s="27"/>
    </row>
    <row r="561" ht="15.75" customHeight="1">
      <c r="F561" s="27"/>
      <c r="M561" s="27"/>
    </row>
    <row r="562" ht="15.75" customHeight="1">
      <c r="F562" s="27"/>
      <c r="M562" s="27"/>
    </row>
    <row r="563" ht="15.75" customHeight="1">
      <c r="F563" s="27"/>
      <c r="M563" s="27"/>
    </row>
    <row r="564" ht="15.75" customHeight="1">
      <c r="F564" s="27"/>
      <c r="M564" s="27"/>
    </row>
    <row r="565" ht="15.75" customHeight="1">
      <c r="F565" s="27"/>
      <c r="M565" s="27"/>
    </row>
    <row r="566" ht="15.75" customHeight="1">
      <c r="F566" s="27"/>
      <c r="M566" s="27"/>
    </row>
    <row r="567" ht="15.75" customHeight="1">
      <c r="F567" s="27"/>
      <c r="M567" s="27"/>
    </row>
    <row r="568" ht="15.75" customHeight="1">
      <c r="F568" s="27"/>
      <c r="M568" s="27"/>
    </row>
    <row r="569" ht="15.75" customHeight="1">
      <c r="F569" s="27"/>
      <c r="M569" s="27"/>
    </row>
    <row r="570" ht="15.75" customHeight="1">
      <c r="F570" s="27"/>
      <c r="M570" s="27"/>
    </row>
    <row r="571" ht="15.75" customHeight="1">
      <c r="F571" s="27"/>
      <c r="M571" s="27"/>
    </row>
    <row r="572" ht="15.75" customHeight="1">
      <c r="F572" s="27"/>
      <c r="M572" s="27"/>
    </row>
    <row r="573" ht="15.75" customHeight="1">
      <c r="F573" s="27"/>
      <c r="M573" s="27"/>
    </row>
    <row r="574" ht="15.75" customHeight="1">
      <c r="F574" s="27"/>
      <c r="M574" s="27"/>
    </row>
    <row r="575" ht="15.75" customHeight="1">
      <c r="F575" s="27"/>
      <c r="M575" s="27"/>
    </row>
    <row r="576" ht="15.75" customHeight="1">
      <c r="F576" s="27"/>
      <c r="M576" s="27"/>
    </row>
    <row r="577" ht="15.75" customHeight="1">
      <c r="F577" s="27"/>
      <c r="M577" s="27"/>
    </row>
    <row r="578" ht="15.75" customHeight="1">
      <c r="F578" s="27"/>
      <c r="M578" s="27"/>
    </row>
    <row r="579" ht="15.75" customHeight="1">
      <c r="F579" s="27"/>
      <c r="M579" s="27"/>
    </row>
    <row r="580" ht="15.75" customHeight="1">
      <c r="F580" s="27"/>
      <c r="M580" s="27"/>
    </row>
    <row r="581" ht="15.75" customHeight="1">
      <c r="F581" s="27"/>
      <c r="M581" s="27"/>
    </row>
    <row r="582" ht="15.75" customHeight="1">
      <c r="F582" s="27"/>
      <c r="M582" s="27"/>
    </row>
    <row r="583" ht="15.75" customHeight="1">
      <c r="F583" s="27"/>
      <c r="M583" s="27"/>
    </row>
    <row r="584" ht="15.75" customHeight="1">
      <c r="F584" s="27"/>
      <c r="M584" s="27"/>
    </row>
    <row r="585" ht="15.75" customHeight="1">
      <c r="F585" s="27"/>
      <c r="M585" s="27"/>
    </row>
    <row r="586" ht="15.75" customHeight="1">
      <c r="F586" s="27"/>
      <c r="M586" s="27"/>
    </row>
    <row r="587" ht="15.75" customHeight="1">
      <c r="F587" s="27"/>
      <c r="M587" s="27"/>
    </row>
    <row r="588" ht="15.75" customHeight="1">
      <c r="F588" s="27"/>
      <c r="M588" s="27"/>
    </row>
    <row r="589" ht="15.75" customHeight="1">
      <c r="F589" s="27"/>
      <c r="M589" s="27"/>
    </row>
    <row r="590" ht="15.75" customHeight="1">
      <c r="F590" s="27"/>
      <c r="M590" s="27"/>
    </row>
    <row r="591" ht="15.75" customHeight="1">
      <c r="F591" s="27"/>
      <c r="M591" s="27"/>
    </row>
    <row r="592" ht="15.75" customHeight="1">
      <c r="F592" s="27"/>
      <c r="M592" s="27"/>
    </row>
    <row r="593" ht="15.75" customHeight="1">
      <c r="F593" s="27"/>
      <c r="M593" s="27"/>
    </row>
    <row r="594" ht="15.75" customHeight="1">
      <c r="F594" s="27"/>
      <c r="M594" s="27"/>
    </row>
    <row r="595" ht="15.75" customHeight="1">
      <c r="F595" s="27"/>
      <c r="M595" s="27"/>
    </row>
    <row r="596" ht="15.75" customHeight="1">
      <c r="F596" s="27"/>
      <c r="M596" s="27"/>
    </row>
    <row r="597" ht="15.75" customHeight="1">
      <c r="F597" s="27"/>
      <c r="M597" s="27"/>
    </row>
    <row r="598" ht="15.75" customHeight="1">
      <c r="F598" s="27"/>
      <c r="M598" s="27"/>
    </row>
    <row r="599" ht="15.75" customHeight="1">
      <c r="F599" s="27"/>
      <c r="M599" s="27"/>
    </row>
    <row r="600" ht="15.75" customHeight="1">
      <c r="F600" s="27"/>
      <c r="M600" s="27"/>
    </row>
    <row r="601" ht="15.75" customHeight="1">
      <c r="F601" s="27"/>
      <c r="M601" s="27"/>
    </row>
    <row r="602" ht="15.75" customHeight="1">
      <c r="F602" s="27"/>
      <c r="M602" s="27"/>
    </row>
    <row r="603" ht="15.75" customHeight="1">
      <c r="F603" s="27"/>
      <c r="M603" s="27"/>
    </row>
    <row r="604" ht="15.75" customHeight="1">
      <c r="F604" s="27"/>
      <c r="M604" s="27"/>
    </row>
    <row r="605" ht="15.75" customHeight="1">
      <c r="F605" s="27"/>
      <c r="M605" s="27"/>
    </row>
    <row r="606" ht="15.75" customHeight="1">
      <c r="F606" s="27"/>
      <c r="M606" s="27"/>
    </row>
    <row r="607" ht="15.75" customHeight="1">
      <c r="F607" s="27"/>
      <c r="M607" s="27"/>
    </row>
    <row r="608" ht="15.75" customHeight="1">
      <c r="F608" s="27"/>
      <c r="M608" s="27"/>
    </row>
    <row r="609" ht="15.75" customHeight="1">
      <c r="F609" s="27"/>
      <c r="M609" s="27"/>
    </row>
    <row r="610" ht="15.75" customHeight="1">
      <c r="F610" s="27"/>
      <c r="M610" s="27"/>
    </row>
    <row r="611" ht="15.75" customHeight="1">
      <c r="F611" s="27"/>
      <c r="M611" s="27"/>
    </row>
    <row r="612" ht="15.75" customHeight="1">
      <c r="F612" s="27"/>
      <c r="M612" s="27"/>
    </row>
    <row r="613" ht="15.75" customHeight="1">
      <c r="F613" s="27"/>
      <c r="M613" s="27"/>
    </row>
    <row r="614" ht="15.75" customHeight="1">
      <c r="F614" s="27"/>
      <c r="M614" s="27"/>
    </row>
    <row r="615" ht="15.75" customHeight="1">
      <c r="F615" s="27"/>
      <c r="M615" s="27"/>
    </row>
    <row r="616" ht="15.75" customHeight="1">
      <c r="F616" s="27"/>
      <c r="M616" s="27"/>
    </row>
    <row r="617" ht="15.75" customHeight="1">
      <c r="F617" s="27"/>
      <c r="M617" s="27"/>
    </row>
    <row r="618" ht="15.75" customHeight="1">
      <c r="F618" s="27"/>
      <c r="M618" s="27"/>
    </row>
    <row r="619" ht="15.75" customHeight="1">
      <c r="F619" s="27"/>
      <c r="M619" s="27"/>
    </row>
    <row r="620" ht="15.75" customHeight="1">
      <c r="F620" s="27"/>
      <c r="M620" s="27"/>
    </row>
    <row r="621" ht="15.75" customHeight="1">
      <c r="F621" s="27"/>
      <c r="M621" s="27"/>
    </row>
    <row r="622" ht="15.75" customHeight="1">
      <c r="F622" s="27"/>
      <c r="M622" s="27"/>
    </row>
    <row r="623" ht="15.75" customHeight="1">
      <c r="F623" s="27"/>
      <c r="M623" s="27"/>
    </row>
    <row r="624" ht="15.75" customHeight="1">
      <c r="F624" s="27"/>
      <c r="M624" s="27"/>
    </row>
    <row r="625" ht="15.75" customHeight="1">
      <c r="F625" s="27"/>
      <c r="M625" s="27"/>
    </row>
    <row r="626" ht="15.75" customHeight="1">
      <c r="F626" s="27"/>
      <c r="M626" s="27"/>
    </row>
    <row r="627" ht="15.75" customHeight="1">
      <c r="F627" s="27"/>
      <c r="M627" s="27"/>
    </row>
    <row r="628" ht="15.75" customHeight="1">
      <c r="F628" s="27"/>
      <c r="M628" s="27"/>
    </row>
    <row r="629" ht="15.75" customHeight="1">
      <c r="F629" s="27"/>
      <c r="M629" s="27"/>
    </row>
    <row r="630" ht="15.75" customHeight="1">
      <c r="F630" s="27"/>
      <c r="M630" s="27"/>
    </row>
    <row r="631" ht="15.75" customHeight="1">
      <c r="F631" s="27"/>
      <c r="M631" s="27"/>
    </row>
    <row r="632" ht="15.75" customHeight="1">
      <c r="F632" s="27"/>
      <c r="M632" s="27"/>
    </row>
    <row r="633" ht="15.75" customHeight="1">
      <c r="F633" s="27"/>
      <c r="M633" s="27"/>
    </row>
    <row r="634" ht="15.75" customHeight="1">
      <c r="F634" s="27"/>
      <c r="M634" s="27"/>
    </row>
    <row r="635" ht="15.75" customHeight="1">
      <c r="F635" s="27"/>
      <c r="M635" s="27"/>
    </row>
    <row r="636" ht="15.75" customHeight="1">
      <c r="F636" s="27"/>
      <c r="M636" s="27"/>
    </row>
    <row r="637" ht="15.75" customHeight="1">
      <c r="F637" s="27"/>
      <c r="M637" s="27"/>
    </row>
    <row r="638" ht="15.75" customHeight="1">
      <c r="F638" s="27"/>
      <c r="M638" s="27"/>
    </row>
    <row r="639" ht="15.75" customHeight="1">
      <c r="F639" s="27"/>
      <c r="M639" s="27"/>
    </row>
    <row r="640" ht="15.75" customHeight="1">
      <c r="F640" s="27"/>
      <c r="M640" s="27"/>
    </row>
    <row r="641" ht="15.75" customHeight="1">
      <c r="F641" s="27"/>
      <c r="M641" s="27"/>
    </row>
    <row r="642" ht="15.75" customHeight="1">
      <c r="F642" s="27"/>
      <c r="M642" s="27"/>
    </row>
    <row r="643" ht="15.75" customHeight="1">
      <c r="F643" s="27"/>
      <c r="M643" s="27"/>
    </row>
    <row r="644" ht="15.75" customHeight="1">
      <c r="F644" s="27"/>
      <c r="M644" s="27"/>
    </row>
    <row r="645" ht="15.75" customHeight="1">
      <c r="F645" s="27"/>
      <c r="M645" s="27"/>
    </row>
    <row r="646" ht="15.75" customHeight="1">
      <c r="F646" s="27"/>
      <c r="M646" s="27"/>
    </row>
    <row r="647" ht="15.75" customHeight="1">
      <c r="F647" s="27"/>
      <c r="M647" s="27"/>
    </row>
    <row r="648" ht="15.75" customHeight="1">
      <c r="F648" s="27"/>
      <c r="M648" s="27"/>
    </row>
    <row r="649" ht="15.75" customHeight="1">
      <c r="F649" s="27"/>
      <c r="M649" s="27"/>
    </row>
    <row r="650" ht="15.75" customHeight="1">
      <c r="F650" s="27"/>
      <c r="M650" s="27"/>
    </row>
    <row r="651" ht="15.75" customHeight="1">
      <c r="F651" s="27"/>
      <c r="M651" s="27"/>
    </row>
    <row r="652" ht="15.75" customHeight="1">
      <c r="F652" s="27"/>
      <c r="M652" s="27"/>
    </row>
    <row r="653" ht="15.75" customHeight="1">
      <c r="F653" s="27"/>
      <c r="M653" s="27"/>
    </row>
    <row r="654" ht="15.75" customHeight="1">
      <c r="F654" s="27"/>
      <c r="M654" s="27"/>
    </row>
    <row r="655" ht="15.75" customHeight="1">
      <c r="F655" s="27"/>
      <c r="M655" s="27"/>
    </row>
    <row r="656" ht="15.75" customHeight="1">
      <c r="F656" s="27"/>
      <c r="M656" s="27"/>
    </row>
    <row r="657" ht="15.75" customHeight="1">
      <c r="F657" s="27"/>
      <c r="M657" s="27"/>
    </row>
    <row r="658" ht="15.75" customHeight="1">
      <c r="F658" s="27"/>
      <c r="M658" s="27"/>
    </row>
    <row r="659" ht="15.75" customHeight="1">
      <c r="F659" s="27"/>
      <c r="M659" s="27"/>
    </row>
    <row r="660" ht="15.75" customHeight="1">
      <c r="F660" s="27"/>
      <c r="M660" s="27"/>
    </row>
    <row r="661" ht="15.75" customHeight="1">
      <c r="F661" s="27"/>
      <c r="M661" s="27"/>
    </row>
    <row r="662" ht="15.75" customHeight="1">
      <c r="F662" s="27"/>
      <c r="M662" s="27"/>
    </row>
    <row r="663" ht="15.75" customHeight="1">
      <c r="F663" s="27"/>
      <c r="M663" s="27"/>
    </row>
    <row r="664" ht="15.75" customHeight="1">
      <c r="F664" s="27"/>
      <c r="M664" s="27"/>
    </row>
    <row r="665" ht="15.75" customHeight="1">
      <c r="F665" s="27"/>
      <c r="M665" s="27"/>
    </row>
    <row r="666" ht="15.75" customHeight="1">
      <c r="F666" s="27"/>
      <c r="M666" s="27"/>
    </row>
    <row r="667" ht="15.75" customHeight="1">
      <c r="F667" s="27"/>
      <c r="M667" s="27"/>
    </row>
    <row r="668" ht="15.75" customHeight="1">
      <c r="F668" s="27"/>
      <c r="M668" s="27"/>
    </row>
    <row r="669" ht="15.75" customHeight="1">
      <c r="F669" s="27"/>
      <c r="M669" s="27"/>
    </row>
    <row r="670" ht="15.75" customHeight="1">
      <c r="F670" s="27"/>
      <c r="M670" s="27"/>
    </row>
    <row r="671" ht="15.75" customHeight="1">
      <c r="F671" s="27"/>
      <c r="M671" s="27"/>
    </row>
    <row r="672" ht="15.75" customHeight="1">
      <c r="F672" s="27"/>
      <c r="M672" s="27"/>
    </row>
    <row r="673" ht="15.75" customHeight="1">
      <c r="F673" s="27"/>
      <c r="M673" s="27"/>
    </row>
    <row r="674" ht="15.75" customHeight="1">
      <c r="F674" s="27"/>
      <c r="M674" s="27"/>
    </row>
    <row r="675" ht="15.75" customHeight="1">
      <c r="F675" s="27"/>
      <c r="M675" s="27"/>
    </row>
    <row r="676" ht="15.75" customHeight="1">
      <c r="F676" s="27"/>
      <c r="M676" s="27"/>
    </row>
    <row r="677" ht="15.75" customHeight="1">
      <c r="F677" s="27"/>
      <c r="M677" s="27"/>
    </row>
    <row r="678" ht="15.75" customHeight="1">
      <c r="F678" s="27"/>
      <c r="M678" s="27"/>
    </row>
    <row r="679" ht="15.75" customHeight="1">
      <c r="F679" s="27"/>
      <c r="M679" s="27"/>
    </row>
    <row r="680" ht="15.75" customHeight="1">
      <c r="F680" s="27"/>
      <c r="M680" s="27"/>
    </row>
    <row r="681" ht="15.75" customHeight="1">
      <c r="F681" s="27"/>
      <c r="M681" s="27"/>
    </row>
    <row r="682" ht="15.75" customHeight="1">
      <c r="F682" s="27"/>
      <c r="M682" s="27"/>
    </row>
    <row r="683" ht="15.75" customHeight="1">
      <c r="F683" s="27"/>
      <c r="M683" s="27"/>
    </row>
    <row r="684" ht="15.75" customHeight="1">
      <c r="F684" s="27"/>
      <c r="M684" s="27"/>
    </row>
    <row r="685" ht="15.75" customHeight="1">
      <c r="F685" s="27"/>
      <c r="M685" s="27"/>
    </row>
    <row r="686" ht="15.75" customHeight="1">
      <c r="F686" s="27"/>
      <c r="M686" s="27"/>
    </row>
    <row r="687" ht="15.75" customHeight="1">
      <c r="F687" s="27"/>
      <c r="M687" s="27"/>
    </row>
    <row r="688" ht="15.75" customHeight="1">
      <c r="F688" s="27"/>
      <c r="M688" s="27"/>
    </row>
    <row r="689" ht="15.75" customHeight="1">
      <c r="F689" s="27"/>
      <c r="M689" s="27"/>
    </row>
    <row r="690" ht="15.75" customHeight="1">
      <c r="F690" s="27"/>
      <c r="M690" s="27"/>
    </row>
    <row r="691" ht="15.75" customHeight="1">
      <c r="F691" s="27"/>
      <c r="M691" s="27"/>
    </row>
    <row r="692" ht="15.75" customHeight="1">
      <c r="F692" s="27"/>
      <c r="M692" s="27"/>
    </row>
    <row r="693" ht="15.75" customHeight="1">
      <c r="F693" s="27"/>
      <c r="M693" s="27"/>
    </row>
    <row r="694" ht="15.75" customHeight="1">
      <c r="F694" s="27"/>
      <c r="M694" s="27"/>
    </row>
    <row r="695" ht="15.75" customHeight="1">
      <c r="F695" s="27"/>
      <c r="M695" s="27"/>
    </row>
    <row r="696" ht="15.75" customHeight="1">
      <c r="F696" s="27"/>
      <c r="M696" s="27"/>
    </row>
    <row r="697" ht="15.75" customHeight="1">
      <c r="F697" s="27"/>
      <c r="M697" s="27"/>
    </row>
    <row r="698" ht="15.75" customHeight="1">
      <c r="F698" s="27"/>
      <c r="M698" s="27"/>
    </row>
    <row r="699" ht="15.75" customHeight="1">
      <c r="F699" s="27"/>
      <c r="M699" s="27"/>
    </row>
    <row r="700" ht="15.75" customHeight="1">
      <c r="F700" s="27"/>
      <c r="M700" s="27"/>
    </row>
    <row r="701" ht="15.75" customHeight="1">
      <c r="F701" s="27"/>
      <c r="M701" s="27"/>
    </row>
    <row r="702" ht="15.75" customHeight="1">
      <c r="F702" s="27"/>
      <c r="M702" s="27"/>
    </row>
    <row r="703" ht="15.75" customHeight="1">
      <c r="F703" s="27"/>
      <c r="M703" s="27"/>
    </row>
    <row r="704" ht="15.75" customHeight="1">
      <c r="F704" s="27"/>
      <c r="M704" s="27"/>
    </row>
    <row r="705" ht="15.75" customHeight="1">
      <c r="F705" s="27"/>
      <c r="M705" s="27"/>
    </row>
    <row r="706" ht="15.75" customHeight="1">
      <c r="F706" s="27"/>
      <c r="M706" s="27"/>
    </row>
    <row r="707" ht="15.75" customHeight="1">
      <c r="F707" s="27"/>
      <c r="M707" s="27"/>
    </row>
    <row r="708" ht="15.75" customHeight="1">
      <c r="F708" s="27"/>
      <c r="M708" s="27"/>
    </row>
    <row r="709" ht="15.75" customHeight="1">
      <c r="F709" s="27"/>
      <c r="M709" s="27"/>
    </row>
    <row r="710" ht="15.75" customHeight="1">
      <c r="F710" s="27"/>
      <c r="M710" s="27"/>
    </row>
    <row r="711" ht="15.75" customHeight="1">
      <c r="F711" s="27"/>
      <c r="M711" s="27"/>
    </row>
    <row r="712" ht="15.75" customHeight="1">
      <c r="F712" s="27"/>
      <c r="M712" s="27"/>
    </row>
    <row r="713" ht="15.75" customHeight="1">
      <c r="F713" s="27"/>
      <c r="M713" s="27"/>
    </row>
    <row r="714" ht="15.75" customHeight="1">
      <c r="F714" s="27"/>
      <c r="M714" s="27"/>
    </row>
    <row r="715" ht="15.75" customHeight="1">
      <c r="F715" s="27"/>
      <c r="M715" s="27"/>
    </row>
    <row r="716" ht="15.75" customHeight="1">
      <c r="F716" s="27"/>
      <c r="M716" s="27"/>
    </row>
    <row r="717" ht="15.75" customHeight="1">
      <c r="F717" s="27"/>
      <c r="M717" s="27"/>
    </row>
    <row r="718" ht="15.75" customHeight="1">
      <c r="F718" s="27"/>
      <c r="M718" s="27"/>
    </row>
    <row r="719" ht="15.75" customHeight="1">
      <c r="F719" s="27"/>
      <c r="M719" s="27"/>
    </row>
    <row r="720" ht="15.75" customHeight="1">
      <c r="F720" s="27"/>
      <c r="M720" s="27"/>
    </row>
    <row r="721" ht="15.75" customHeight="1">
      <c r="F721" s="27"/>
      <c r="M721" s="27"/>
    </row>
    <row r="722" ht="15.75" customHeight="1">
      <c r="F722" s="27"/>
      <c r="M722" s="27"/>
    </row>
    <row r="723" ht="15.75" customHeight="1">
      <c r="F723" s="27"/>
      <c r="M723" s="27"/>
    </row>
    <row r="724" ht="15.75" customHeight="1">
      <c r="F724" s="27"/>
      <c r="M724" s="27"/>
    </row>
    <row r="725" ht="15.75" customHeight="1">
      <c r="F725" s="27"/>
      <c r="M725" s="27"/>
    </row>
    <row r="726" ht="15.75" customHeight="1">
      <c r="F726" s="27"/>
      <c r="M726" s="27"/>
    </row>
    <row r="727" ht="15.75" customHeight="1">
      <c r="F727" s="27"/>
      <c r="M727" s="27"/>
    </row>
    <row r="728" ht="15.75" customHeight="1">
      <c r="F728" s="27"/>
      <c r="M728" s="27"/>
    </row>
    <row r="729" ht="15.75" customHeight="1">
      <c r="F729" s="27"/>
      <c r="M729" s="27"/>
    </row>
    <row r="730" ht="15.75" customHeight="1">
      <c r="F730" s="27"/>
      <c r="M730" s="27"/>
    </row>
    <row r="731" ht="15.75" customHeight="1">
      <c r="F731" s="27"/>
      <c r="M731" s="27"/>
    </row>
    <row r="732" ht="15.75" customHeight="1">
      <c r="F732" s="27"/>
      <c r="M732" s="27"/>
    </row>
    <row r="733" ht="15.75" customHeight="1">
      <c r="F733" s="27"/>
      <c r="M733" s="27"/>
    </row>
    <row r="734" ht="15.75" customHeight="1">
      <c r="F734" s="27"/>
      <c r="M734" s="27"/>
    </row>
    <row r="735" ht="15.75" customHeight="1">
      <c r="F735" s="27"/>
      <c r="M735" s="27"/>
    </row>
    <row r="736" ht="15.75" customHeight="1">
      <c r="F736" s="27"/>
      <c r="M736" s="27"/>
    </row>
    <row r="737" ht="15.75" customHeight="1">
      <c r="F737" s="27"/>
      <c r="M737" s="27"/>
    </row>
    <row r="738" ht="15.75" customHeight="1">
      <c r="F738" s="27"/>
      <c r="M738" s="27"/>
    </row>
    <row r="739" ht="15.75" customHeight="1">
      <c r="F739" s="27"/>
      <c r="M739" s="27"/>
    </row>
    <row r="740" ht="15.75" customHeight="1">
      <c r="F740" s="27"/>
      <c r="M740" s="27"/>
    </row>
    <row r="741" ht="15.75" customHeight="1">
      <c r="F741" s="27"/>
      <c r="M741" s="27"/>
    </row>
    <row r="742" ht="15.75" customHeight="1">
      <c r="F742" s="27"/>
      <c r="M742" s="27"/>
    </row>
    <row r="743" ht="15.75" customHeight="1">
      <c r="F743" s="27"/>
      <c r="M743" s="27"/>
    </row>
    <row r="744" ht="15.75" customHeight="1">
      <c r="F744" s="27"/>
      <c r="M744" s="27"/>
    </row>
    <row r="745" ht="15.75" customHeight="1">
      <c r="F745" s="27"/>
      <c r="M745" s="27"/>
    </row>
    <row r="746" ht="15.75" customHeight="1">
      <c r="F746" s="27"/>
      <c r="M746" s="27"/>
    </row>
    <row r="747" ht="15.75" customHeight="1">
      <c r="F747" s="27"/>
      <c r="M747" s="27"/>
    </row>
    <row r="748" ht="15.75" customHeight="1">
      <c r="F748" s="27"/>
      <c r="M748" s="27"/>
    </row>
    <row r="749" ht="15.75" customHeight="1">
      <c r="F749" s="27"/>
      <c r="M749" s="27"/>
    </row>
    <row r="750" ht="15.75" customHeight="1">
      <c r="F750" s="27"/>
      <c r="M750" s="27"/>
    </row>
    <row r="751" ht="15.75" customHeight="1">
      <c r="F751" s="27"/>
      <c r="M751" s="27"/>
    </row>
    <row r="752" ht="15.75" customHeight="1">
      <c r="F752" s="27"/>
      <c r="M752" s="27"/>
    </row>
    <row r="753" ht="15.75" customHeight="1">
      <c r="F753" s="27"/>
      <c r="M753" s="27"/>
    </row>
    <row r="754" ht="15.75" customHeight="1">
      <c r="F754" s="27"/>
      <c r="M754" s="27"/>
    </row>
    <row r="755" ht="15.75" customHeight="1">
      <c r="F755" s="27"/>
      <c r="M755" s="27"/>
    </row>
    <row r="756" ht="15.75" customHeight="1">
      <c r="F756" s="27"/>
      <c r="M756" s="27"/>
    </row>
    <row r="757" ht="15.75" customHeight="1">
      <c r="F757" s="27"/>
      <c r="M757" s="27"/>
    </row>
    <row r="758" ht="15.75" customHeight="1">
      <c r="F758" s="27"/>
      <c r="M758" s="27"/>
    </row>
    <row r="759" ht="15.75" customHeight="1">
      <c r="F759" s="27"/>
      <c r="M759" s="27"/>
    </row>
    <row r="760" ht="15.75" customHeight="1">
      <c r="F760" s="27"/>
      <c r="M760" s="27"/>
    </row>
    <row r="761" ht="15.75" customHeight="1">
      <c r="F761" s="27"/>
      <c r="M761" s="27"/>
    </row>
    <row r="762" ht="15.75" customHeight="1">
      <c r="F762" s="27"/>
      <c r="M762" s="27"/>
    </row>
    <row r="763" ht="15.75" customHeight="1">
      <c r="F763" s="27"/>
      <c r="M763" s="27"/>
    </row>
    <row r="764" ht="15.75" customHeight="1">
      <c r="F764" s="27"/>
      <c r="M764" s="27"/>
    </row>
    <row r="765" ht="15.75" customHeight="1">
      <c r="F765" s="27"/>
      <c r="M765" s="27"/>
    </row>
    <row r="766" ht="15.75" customHeight="1">
      <c r="F766" s="27"/>
      <c r="M766" s="27"/>
    </row>
    <row r="767" ht="15.75" customHeight="1">
      <c r="F767" s="27"/>
      <c r="M767" s="27"/>
    </row>
    <row r="768" ht="15.75" customHeight="1">
      <c r="F768" s="27"/>
      <c r="M768" s="27"/>
    </row>
    <row r="769" ht="15.75" customHeight="1">
      <c r="F769" s="27"/>
      <c r="M769" s="27"/>
    </row>
    <row r="770" ht="15.75" customHeight="1">
      <c r="F770" s="27"/>
      <c r="M770" s="27"/>
    </row>
    <row r="771" ht="15.75" customHeight="1">
      <c r="F771" s="27"/>
      <c r="M771" s="27"/>
    </row>
    <row r="772" ht="15.75" customHeight="1">
      <c r="F772" s="27"/>
      <c r="M772" s="27"/>
    </row>
    <row r="773" ht="15.75" customHeight="1">
      <c r="F773" s="27"/>
      <c r="M773" s="27"/>
    </row>
    <row r="774" ht="15.75" customHeight="1">
      <c r="F774" s="27"/>
      <c r="M774" s="27"/>
    </row>
    <row r="775" ht="15.75" customHeight="1">
      <c r="F775" s="27"/>
      <c r="M775" s="27"/>
    </row>
    <row r="776" ht="15.75" customHeight="1">
      <c r="F776" s="27"/>
      <c r="M776" s="27"/>
    </row>
    <row r="777" ht="15.75" customHeight="1">
      <c r="F777" s="27"/>
      <c r="M777" s="27"/>
    </row>
    <row r="778" ht="15.75" customHeight="1">
      <c r="F778" s="27"/>
      <c r="M778" s="27"/>
    </row>
    <row r="779" ht="15.75" customHeight="1">
      <c r="F779" s="27"/>
      <c r="M779" s="27"/>
    </row>
    <row r="780" ht="15.75" customHeight="1">
      <c r="F780" s="27"/>
      <c r="M780" s="27"/>
    </row>
    <row r="781" ht="15.75" customHeight="1">
      <c r="F781" s="27"/>
      <c r="M781" s="27"/>
    </row>
    <row r="782" ht="15.75" customHeight="1">
      <c r="F782" s="27"/>
      <c r="M782" s="27"/>
    </row>
    <row r="783" ht="15.75" customHeight="1">
      <c r="F783" s="27"/>
      <c r="M783" s="27"/>
    </row>
    <row r="784" ht="15.75" customHeight="1">
      <c r="F784" s="27"/>
      <c r="M784" s="27"/>
    </row>
    <row r="785" ht="15.75" customHeight="1">
      <c r="F785" s="27"/>
      <c r="M785" s="27"/>
    </row>
    <row r="786" ht="15.75" customHeight="1">
      <c r="F786" s="27"/>
      <c r="M786" s="27"/>
    </row>
    <row r="787" ht="15.75" customHeight="1">
      <c r="F787" s="27"/>
      <c r="M787" s="27"/>
    </row>
    <row r="788" ht="15.75" customHeight="1">
      <c r="F788" s="27"/>
      <c r="M788" s="27"/>
    </row>
    <row r="789" ht="15.75" customHeight="1">
      <c r="F789" s="27"/>
      <c r="M789" s="27"/>
    </row>
    <row r="790" ht="15.75" customHeight="1">
      <c r="F790" s="27"/>
      <c r="M790" s="27"/>
    </row>
    <row r="791" ht="15.75" customHeight="1">
      <c r="F791" s="27"/>
      <c r="M791" s="27"/>
    </row>
    <row r="792" ht="15.75" customHeight="1">
      <c r="F792" s="27"/>
      <c r="M792" s="27"/>
    </row>
    <row r="793" ht="15.75" customHeight="1">
      <c r="F793" s="27"/>
      <c r="M793" s="27"/>
    </row>
    <row r="794" ht="15.75" customHeight="1">
      <c r="F794" s="27"/>
      <c r="M794" s="27"/>
    </row>
    <row r="795" ht="15.75" customHeight="1">
      <c r="F795" s="27"/>
      <c r="M795" s="27"/>
    </row>
    <row r="796" ht="15.75" customHeight="1">
      <c r="F796" s="27"/>
      <c r="M796" s="27"/>
    </row>
    <row r="797" ht="15.75" customHeight="1">
      <c r="F797" s="27"/>
      <c r="M797" s="27"/>
    </row>
    <row r="798" ht="15.75" customHeight="1">
      <c r="F798" s="27"/>
      <c r="M798" s="27"/>
    </row>
    <row r="799" ht="15.75" customHeight="1">
      <c r="F799" s="27"/>
      <c r="M799" s="27"/>
    </row>
    <row r="800" ht="15.75" customHeight="1">
      <c r="F800" s="27"/>
      <c r="M800" s="27"/>
    </row>
    <row r="801" ht="15.75" customHeight="1">
      <c r="F801" s="27"/>
      <c r="M801" s="27"/>
    </row>
    <row r="802" ht="15.75" customHeight="1">
      <c r="F802" s="27"/>
      <c r="M802" s="27"/>
    </row>
    <row r="803" ht="15.75" customHeight="1">
      <c r="F803" s="27"/>
      <c r="M803" s="27"/>
    </row>
    <row r="804" ht="15.75" customHeight="1">
      <c r="F804" s="27"/>
      <c r="M804" s="27"/>
    </row>
    <row r="805" ht="15.75" customHeight="1">
      <c r="F805" s="27"/>
      <c r="M805" s="27"/>
    </row>
    <row r="806" ht="15.75" customHeight="1">
      <c r="F806" s="27"/>
      <c r="M806" s="27"/>
    </row>
    <row r="807" ht="15.75" customHeight="1">
      <c r="F807" s="27"/>
      <c r="M807" s="27"/>
    </row>
    <row r="808" ht="15.75" customHeight="1">
      <c r="F808" s="27"/>
      <c r="M808" s="27"/>
    </row>
    <row r="809" ht="15.75" customHeight="1">
      <c r="F809" s="27"/>
      <c r="M809" s="27"/>
    </row>
    <row r="810" ht="15.75" customHeight="1">
      <c r="F810" s="27"/>
      <c r="M810" s="27"/>
    </row>
    <row r="811" ht="15.75" customHeight="1">
      <c r="F811" s="27"/>
      <c r="M811" s="27"/>
    </row>
    <row r="812" ht="15.75" customHeight="1">
      <c r="F812" s="27"/>
      <c r="M812" s="27"/>
    </row>
    <row r="813" ht="15.75" customHeight="1">
      <c r="F813" s="27"/>
      <c r="M813" s="27"/>
    </row>
    <row r="814" ht="15.75" customHeight="1">
      <c r="F814" s="27"/>
      <c r="M814" s="27"/>
    </row>
    <row r="815" ht="15.75" customHeight="1">
      <c r="F815" s="27"/>
      <c r="M815" s="27"/>
    </row>
    <row r="816" ht="15.75" customHeight="1">
      <c r="F816" s="27"/>
      <c r="M816" s="27"/>
    </row>
    <row r="817" ht="15.75" customHeight="1">
      <c r="F817" s="27"/>
      <c r="M817" s="27"/>
    </row>
    <row r="818" ht="15.75" customHeight="1">
      <c r="F818" s="27"/>
      <c r="M818" s="27"/>
    </row>
    <row r="819" ht="15.75" customHeight="1">
      <c r="F819" s="27"/>
      <c r="M819" s="27"/>
    </row>
    <row r="820" ht="15.75" customHeight="1">
      <c r="F820" s="27"/>
      <c r="M820" s="27"/>
    </row>
    <row r="821" ht="15.75" customHeight="1">
      <c r="F821" s="27"/>
      <c r="M821" s="27"/>
    </row>
    <row r="822" ht="15.75" customHeight="1">
      <c r="F822" s="27"/>
      <c r="M822" s="27"/>
    </row>
    <row r="823" ht="15.75" customHeight="1">
      <c r="F823" s="27"/>
      <c r="M823" s="27"/>
    </row>
    <row r="824" ht="15.75" customHeight="1">
      <c r="F824" s="27"/>
      <c r="M824" s="27"/>
    </row>
    <row r="825" ht="15.75" customHeight="1">
      <c r="F825" s="27"/>
      <c r="M825" s="27"/>
    </row>
    <row r="826" ht="15.75" customHeight="1">
      <c r="F826" s="27"/>
      <c r="M826" s="27"/>
    </row>
    <row r="827" ht="15.75" customHeight="1">
      <c r="F827" s="27"/>
      <c r="M827" s="27"/>
    </row>
    <row r="828" ht="15.75" customHeight="1">
      <c r="F828" s="27"/>
      <c r="M828" s="27"/>
    </row>
    <row r="829" ht="15.75" customHeight="1">
      <c r="F829" s="27"/>
      <c r="M829" s="27"/>
    </row>
    <row r="830" ht="15.75" customHeight="1">
      <c r="F830" s="27"/>
      <c r="M830" s="27"/>
    </row>
    <row r="831" ht="15.75" customHeight="1">
      <c r="F831" s="27"/>
      <c r="M831" s="27"/>
    </row>
    <row r="832" ht="15.75" customHeight="1">
      <c r="F832" s="27"/>
      <c r="M832" s="27"/>
    </row>
    <row r="833" ht="15.75" customHeight="1">
      <c r="F833" s="27"/>
      <c r="M833" s="27"/>
    </row>
    <row r="834" ht="15.75" customHeight="1">
      <c r="F834" s="27"/>
      <c r="M834" s="27"/>
    </row>
    <row r="835" ht="15.75" customHeight="1">
      <c r="F835" s="27"/>
      <c r="M835" s="27"/>
    </row>
    <row r="836" ht="15.75" customHeight="1">
      <c r="F836" s="27"/>
      <c r="M836" s="27"/>
    </row>
    <row r="837" ht="15.75" customHeight="1">
      <c r="F837" s="27"/>
      <c r="M837" s="27"/>
    </row>
    <row r="838" ht="15.75" customHeight="1">
      <c r="F838" s="27"/>
      <c r="M838" s="27"/>
    </row>
    <row r="839" ht="15.75" customHeight="1">
      <c r="F839" s="27"/>
      <c r="M839" s="27"/>
    </row>
    <row r="840" ht="15.75" customHeight="1">
      <c r="F840" s="27"/>
      <c r="M840" s="27"/>
    </row>
    <row r="841" ht="15.75" customHeight="1">
      <c r="F841" s="27"/>
      <c r="M841" s="27"/>
    </row>
    <row r="842" ht="15.75" customHeight="1">
      <c r="F842" s="27"/>
      <c r="M842" s="27"/>
    </row>
    <row r="843" ht="15.75" customHeight="1">
      <c r="F843" s="27"/>
      <c r="M843" s="27"/>
    </row>
    <row r="844" ht="15.75" customHeight="1">
      <c r="F844" s="27"/>
      <c r="M844" s="27"/>
    </row>
    <row r="845" ht="15.75" customHeight="1">
      <c r="F845" s="27"/>
      <c r="M845" s="27"/>
    </row>
    <row r="846" ht="15.75" customHeight="1">
      <c r="F846" s="27"/>
      <c r="M846" s="27"/>
    </row>
    <row r="847" ht="15.75" customHeight="1">
      <c r="F847" s="27"/>
      <c r="M847" s="27"/>
    </row>
    <row r="848" ht="15.75" customHeight="1">
      <c r="F848" s="27"/>
      <c r="M848" s="27"/>
    </row>
    <row r="849" ht="15.75" customHeight="1">
      <c r="F849" s="27"/>
      <c r="M849" s="27"/>
    </row>
    <row r="850" ht="15.75" customHeight="1">
      <c r="F850" s="27"/>
      <c r="M850" s="27"/>
    </row>
    <row r="851" ht="15.75" customHeight="1">
      <c r="F851" s="27"/>
      <c r="M851" s="27"/>
    </row>
    <row r="852" ht="15.75" customHeight="1">
      <c r="F852" s="27"/>
      <c r="M852" s="27"/>
    </row>
    <row r="853" ht="15.75" customHeight="1">
      <c r="F853" s="27"/>
      <c r="M853" s="27"/>
    </row>
    <row r="854" ht="15.75" customHeight="1">
      <c r="F854" s="27"/>
      <c r="M854" s="27"/>
    </row>
    <row r="855" ht="15.75" customHeight="1">
      <c r="F855" s="27"/>
      <c r="M855" s="27"/>
    </row>
    <row r="856" ht="15.75" customHeight="1">
      <c r="F856" s="27"/>
      <c r="M856" s="27"/>
    </row>
    <row r="857" ht="15.75" customHeight="1">
      <c r="F857" s="27"/>
      <c r="M857" s="27"/>
    </row>
    <row r="858" ht="15.75" customHeight="1">
      <c r="F858" s="27"/>
      <c r="M858" s="27"/>
    </row>
    <row r="859" ht="15.75" customHeight="1">
      <c r="F859" s="27"/>
      <c r="M859" s="27"/>
    </row>
    <row r="860" ht="15.75" customHeight="1">
      <c r="F860" s="27"/>
      <c r="M860" s="27"/>
    </row>
    <row r="861" ht="15.75" customHeight="1">
      <c r="F861" s="27"/>
      <c r="M861" s="27"/>
    </row>
    <row r="862" ht="15.75" customHeight="1">
      <c r="F862" s="27"/>
      <c r="M862" s="27"/>
    </row>
    <row r="863" ht="15.75" customHeight="1">
      <c r="F863" s="27"/>
      <c r="M863" s="27"/>
    </row>
    <row r="864" ht="15.75" customHeight="1">
      <c r="F864" s="27"/>
      <c r="M864" s="27"/>
    </row>
    <row r="865" ht="15.75" customHeight="1">
      <c r="F865" s="27"/>
      <c r="M865" s="27"/>
    </row>
    <row r="866" ht="15.75" customHeight="1">
      <c r="F866" s="27"/>
      <c r="M866" s="27"/>
    </row>
    <row r="867" ht="15.75" customHeight="1">
      <c r="F867" s="27"/>
      <c r="M867" s="27"/>
    </row>
    <row r="868" ht="15.75" customHeight="1">
      <c r="F868" s="27"/>
      <c r="M868" s="27"/>
    </row>
    <row r="869" ht="15.75" customHeight="1">
      <c r="F869" s="27"/>
      <c r="M869" s="27"/>
    </row>
    <row r="870" ht="15.75" customHeight="1">
      <c r="F870" s="27"/>
      <c r="M870" s="27"/>
    </row>
    <row r="871" ht="15.75" customHeight="1">
      <c r="F871" s="27"/>
      <c r="M871" s="27"/>
    </row>
    <row r="872" ht="15.75" customHeight="1">
      <c r="F872" s="27"/>
      <c r="M872" s="27"/>
    </row>
    <row r="873" ht="15.75" customHeight="1">
      <c r="F873" s="27"/>
      <c r="M873" s="27"/>
    </row>
    <row r="874" ht="15.75" customHeight="1">
      <c r="F874" s="27"/>
      <c r="M874" s="27"/>
    </row>
    <row r="875" ht="15.75" customHeight="1">
      <c r="F875" s="27"/>
      <c r="M875" s="27"/>
    </row>
    <row r="876" ht="15.75" customHeight="1">
      <c r="F876" s="27"/>
      <c r="M876" s="27"/>
    </row>
    <row r="877" ht="15.75" customHeight="1">
      <c r="F877" s="27"/>
      <c r="M877" s="27"/>
    </row>
    <row r="878" ht="15.75" customHeight="1">
      <c r="F878" s="27"/>
      <c r="M878" s="27"/>
    </row>
    <row r="879" ht="15.75" customHeight="1">
      <c r="F879" s="27"/>
      <c r="M879" s="27"/>
    </row>
    <row r="880" ht="15.75" customHeight="1">
      <c r="F880" s="27"/>
      <c r="M880" s="27"/>
    </row>
    <row r="881" ht="15.75" customHeight="1">
      <c r="F881" s="27"/>
      <c r="M881" s="27"/>
    </row>
    <row r="882" ht="15.75" customHeight="1">
      <c r="F882" s="27"/>
      <c r="M882" s="27"/>
    </row>
    <row r="883" ht="15.75" customHeight="1">
      <c r="F883" s="27"/>
      <c r="M883" s="27"/>
    </row>
    <row r="884" ht="15.75" customHeight="1">
      <c r="F884" s="27"/>
      <c r="M884" s="27"/>
    </row>
    <row r="885" ht="15.75" customHeight="1">
      <c r="F885" s="27"/>
      <c r="M885" s="27"/>
    </row>
    <row r="886" ht="15.75" customHeight="1">
      <c r="F886" s="27"/>
      <c r="M886" s="27"/>
    </row>
    <row r="887" ht="15.75" customHeight="1">
      <c r="F887" s="27"/>
      <c r="M887" s="27"/>
    </row>
    <row r="888" ht="15.75" customHeight="1">
      <c r="F888" s="27"/>
      <c r="M888" s="27"/>
    </row>
    <row r="889" ht="15.75" customHeight="1">
      <c r="F889" s="27"/>
      <c r="M889" s="27"/>
    </row>
    <row r="890" ht="15.75" customHeight="1">
      <c r="F890" s="27"/>
      <c r="M890" s="27"/>
    </row>
    <row r="891" ht="15.75" customHeight="1">
      <c r="F891" s="27"/>
      <c r="M891" s="27"/>
    </row>
    <row r="892" ht="15.75" customHeight="1">
      <c r="F892" s="27"/>
      <c r="M892" s="27"/>
    </row>
    <row r="893" ht="15.75" customHeight="1">
      <c r="F893" s="27"/>
      <c r="M893" s="27"/>
    </row>
    <row r="894" ht="15.75" customHeight="1">
      <c r="F894" s="27"/>
      <c r="M894" s="27"/>
    </row>
    <row r="895" ht="15.75" customHeight="1">
      <c r="F895" s="27"/>
      <c r="M895" s="27"/>
    </row>
    <row r="896" ht="15.75" customHeight="1">
      <c r="F896" s="27"/>
      <c r="M896" s="27"/>
    </row>
    <row r="897" ht="15.75" customHeight="1">
      <c r="F897" s="27"/>
      <c r="M897" s="27"/>
    </row>
    <row r="898" ht="15.75" customHeight="1">
      <c r="F898" s="27"/>
      <c r="M898" s="27"/>
    </row>
    <row r="899" ht="15.75" customHeight="1">
      <c r="F899" s="27"/>
      <c r="M899" s="27"/>
    </row>
    <row r="900" ht="15.75" customHeight="1">
      <c r="F900" s="27"/>
      <c r="M900" s="27"/>
    </row>
    <row r="901" ht="15.75" customHeight="1">
      <c r="F901" s="27"/>
      <c r="M901" s="27"/>
    </row>
    <row r="902" ht="15.75" customHeight="1">
      <c r="F902" s="27"/>
      <c r="M902" s="27"/>
    </row>
    <row r="903" ht="15.75" customHeight="1">
      <c r="F903" s="27"/>
      <c r="M903" s="27"/>
    </row>
    <row r="904" ht="15.75" customHeight="1">
      <c r="F904" s="27"/>
      <c r="M904" s="27"/>
    </row>
    <row r="905" ht="15.75" customHeight="1">
      <c r="F905" s="27"/>
      <c r="M905" s="27"/>
    </row>
    <row r="906" ht="15.75" customHeight="1">
      <c r="F906" s="27"/>
      <c r="M906" s="27"/>
    </row>
    <row r="907" ht="15.75" customHeight="1">
      <c r="F907" s="27"/>
      <c r="M907" s="27"/>
    </row>
    <row r="908" ht="15.75" customHeight="1">
      <c r="F908" s="27"/>
      <c r="M908" s="27"/>
    </row>
    <row r="909" ht="15.75" customHeight="1">
      <c r="F909" s="27"/>
      <c r="M909" s="27"/>
    </row>
    <row r="910" ht="15.75" customHeight="1">
      <c r="F910" s="27"/>
      <c r="M910" s="27"/>
    </row>
    <row r="911" ht="15.75" customHeight="1">
      <c r="F911" s="27"/>
      <c r="M911" s="27"/>
    </row>
    <row r="912" ht="15.75" customHeight="1">
      <c r="F912" s="27"/>
      <c r="M912" s="27"/>
    </row>
    <row r="913" ht="15.75" customHeight="1">
      <c r="F913" s="27"/>
      <c r="M913" s="27"/>
    </row>
    <row r="914" ht="15.75" customHeight="1">
      <c r="F914" s="27"/>
      <c r="M914" s="27"/>
    </row>
    <row r="915" ht="15.75" customHeight="1">
      <c r="F915" s="27"/>
      <c r="M915" s="27"/>
    </row>
    <row r="916" ht="15.75" customHeight="1">
      <c r="F916" s="27"/>
      <c r="M916" s="27"/>
    </row>
    <row r="917" ht="15.75" customHeight="1">
      <c r="F917" s="27"/>
      <c r="M917" s="27"/>
    </row>
    <row r="918" ht="15.75" customHeight="1">
      <c r="F918" s="27"/>
      <c r="M918" s="27"/>
    </row>
    <row r="919" ht="15.75" customHeight="1">
      <c r="F919" s="27"/>
      <c r="M919" s="27"/>
    </row>
    <row r="920" ht="15.75" customHeight="1">
      <c r="F920" s="27"/>
      <c r="M920" s="27"/>
    </row>
    <row r="921" ht="15.75" customHeight="1">
      <c r="F921" s="27"/>
      <c r="M921" s="27"/>
    </row>
    <row r="922" ht="15.75" customHeight="1">
      <c r="F922" s="27"/>
      <c r="M922" s="27"/>
    </row>
    <row r="923" ht="15.75" customHeight="1">
      <c r="F923" s="27"/>
      <c r="M923" s="27"/>
    </row>
    <row r="924" ht="15.75" customHeight="1">
      <c r="F924" s="27"/>
      <c r="M924" s="27"/>
    </row>
    <row r="925" ht="15.75" customHeight="1">
      <c r="F925" s="27"/>
      <c r="M925" s="27"/>
    </row>
    <row r="926" ht="15.75" customHeight="1">
      <c r="F926" s="27"/>
      <c r="M926" s="27"/>
    </row>
    <row r="927" ht="15.75" customHeight="1">
      <c r="F927" s="27"/>
      <c r="M927" s="27"/>
    </row>
    <row r="928" ht="15.75" customHeight="1">
      <c r="F928" s="27"/>
      <c r="M928" s="27"/>
    </row>
    <row r="929" ht="15.75" customHeight="1">
      <c r="F929" s="27"/>
      <c r="M929" s="27"/>
    </row>
    <row r="930" ht="15.75" customHeight="1">
      <c r="F930" s="27"/>
      <c r="M930" s="27"/>
    </row>
    <row r="931" ht="15.75" customHeight="1">
      <c r="F931" s="27"/>
      <c r="M931" s="27"/>
    </row>
    <row r="932" ht="15.75" customHeight="1">
      <c r="F932" s="27"/>
      <c r="M932" s="27"/>
    </row>
    <row r="933" ht="15.75" customHeight="1">
      <c r="F933" s="27"/>
      <c r="M933" s="27"/>
    </row>
    <row r="934" ht="15.75" customHeight="1">
      <c r="F934" s="27"/>
      <c r="M934" s="27"/>
    </row>
    <row r="935" ht="15.75" customHeight="1">
      <c r="F935" s="27"/>
      <c r="M935" s="27"/>
    </row>
    <row r="936" ht="15.75" customHeight="1">
      <c r="F936" s="27"/>
      <c r="M936" s="27"/>
    </row>
    <row r="937" ht="15.75" customHeight="1">
      <c r="F937" s="27"/>
      <c r="M937" s="27"/>
    </row>
    <row r="938" ht="15.75" customHeight="1">
      <c r="F938" s="27"/>
      <c r="M938" s="27"/>
    </row>
    <row r="939" ht="15.75" customHeight="1">
      <c r="F939" s="27"/>
      <c r="M939" s="27"/>
    </row>
    <row r="940" ht="15.75" customHeight="1">
      <c r="F940" s="27"/>
      <c r="M940" s="27"/>
    </row>
    <row r="941" ht="15.75" customHeight="1">
      <c r="F941" s="27"/>
      <c r="M941" s="27"/>
    </row>
    <row r="942" ht="15.75" customHeight="1">
      <c r="F942" s="27"/>
      <c r="M942" s="27"/>
    </row>
    <row r="943" ht="15.75" customHeight="1">
      <c r="F943" s="27"/>
      <c r="M943" s="27"/>
    </row>
    <row r="944" ht="15.75" customHeight="1">
      <c r="F944" s="27"/>
      <c r="M944" s="27"/>
    </row>
    <row r="945" ht="15.75" customHeight="1">
      <c r="F945" s="27"/>
      <c r="M945" s="27"/>
    </row>
    <row r="946" ht="15.75" customHeight="1">
      <c r="F946" s="27"/>
      <c r="M946" s="27"/>
    </row>
    <row r="947" ht="15.75" customHeight="1">
      <c r="F947" s="27"/>
      <c r="M947" s="27"/>
    </row>
    <row r="948" ht="15.75" customHeight="1">
      <c r="F948" s="27"/>
      <c r="M948" s="27"/>
    </row>
    <row r="949" ht="15.75" customHeight="1">
      <c r="F949" s="27"/>
      <c r="M949" s="27"/>
    </row>
    <row r="950" ht="15.75" customHeight="1">
      <c r="F950" s="27"/>
      <c r="M950" s="27"/>
    </row>
    <row r="951" ht="15.75" customHeight="1">
      <c r="F951" s="27"/>
      <c r="M951" s="27"/>
    </row>
    <row r="952" ht="15.75" customHeight="1">
      <c r="F952" s="27"/>
      <c r="M952" s="27"/>
    </row>
    <row r="953" ht="15.75" customHeight="1">
      <c r="F953" s="27"/>
      <c r="M953" s="27"/>
    </row>
    <row r="954" ht="15.75" customHeight="1">
      <c r="F954" s="27"/>
      <c r="M954" s="27"/>
    </row>
    <row r="955" ht="15.75" customHeight="1">
      <c r="F955" s="27"/>
      <c r="M955" s="27"/>
    </row>
    <row r="956" ht="15.75" customHeight="1">
      <c r="F956" s="27"/>
      <c r="M956" s="27"/>
    </row>
    <row r="957" ht="15.75" customHeight="1">
      <c r="F957" s="27"/>
      <c r="M957" s="27"/>
    </row>
    <row r="958" ht="15.75" customHeight="1">
      <c r="F958" s="27"/>
      <c r="M958" s="27"/>
    </row>
    <row r="959" ht="15.75" customHeight="1">
      <c r="F959" s="27"/>
      <c r="M959" s="27"/>
    </row>
    <row r="960" ht="15.75" customHeight="1">
      <c r="F960" s="27"/>
      <c r="M960" s="27"/>
    </row>
    <row r="961" ht="15.75" customHeight="1">
      <c r="F961" s="27"/>
      <c r="M961" s="27"/>
    </row>
    <row r="962" ht="15.75" customHeight="1">
      <c r="F962" s="27"/>
      <c r="M962" s="27"/>
    </row>
    <row r="963" ht="15.75" customHeight="1">
      <c r="F963" s="27"/>
      <c r="M963" s="27"/>
    </row>
    <row r="964" ht="15.75" customHeight="1">
      <c r="F964" s="27"/>
      <c r="M964" s="27"/>
    </row>
    <row r="965" ht="15.75" customHeight="1">
      <c r="F965" s="27"/>
      <c r="M965" s="27"/>
    </row>
    <row r="966" ht="15.75" customHeight="1">
      <c r="F966" s="27"/>
      <c r="M966" s="27"/>
    </row>
    <row r="967" ht="15.75" customHeight="1">
      <c r="F967" s="27"/>
      <c r="M967" s="27"/>
    </row>
    <row r="968" ht="15.75" customHeight="1">
      <c r="F968" s="27"/>
      <c r="M968" s="27"/>
    </row>
    <row r="969" ht="15.75" customHeight="1">
      <c r="F969" s="27"/>
      <c r="M969" s="27"/>
    </row>
    <row r="970" ht="15.75" customHeight="1">
      <c r="F970" s="27"/>
      <c r="M970" s="27"/>
    </row>
    <row r="971" ht="15.75" customHeight="1">
      <c r="F971" s="27"/>
      <c r="M971" s="27"/>
    </row>
    <row r="972" ht="15.75" customHeight="1">
      <c r="F972" s="27"/>
      <c r="M972" s="27"/>
    </row>
    <row r="973" ht="15.75" customHeight="1">
      <c r="F973" s="27"/>
      <c r="M973" s="27"/>
    </row>
    <row r="974" ht="15.75" customHeight="1">
      <c r="F974" s="27"/>
      <c r="M974" s="27"/>
    </row>
    <row r="975" ht="15.75" customHeight="1">
      <c r="F975" s="27"/>
      <c r="M975" s="27"/>
    </row>
    <row r="976" ht="15.75" customHeight="1">
      <c r="F976" s="27"/>
      <c r="M976" s="27"/>
    </row>
    <row r="977" ht="15.75" customHeight="1">
      <c r="F977" s="27"/>
      <c r="M977" s="27"/>
    </row>
    <row r="978" ht="15.75" customHeight="1">
      <c r="F978" s="27"/>
      <c r="M978" s="27"/>
    </row>
    <row r="979" ht="15.75" customHeight="1">
      <c r="F979" s="27"/>
      <c r="M979" s="27"/>
    </row>
    <row r="980" ht="15.75" customHeight="1">
      <c r="F980" s="27"/>
      <c r="M980" s="27"/>
    </row>
    <row r="981" ht="15.75" customHeight="1">
      <c r="F981" s="27"/>
      <c r="M981" s="27"/>
    </row>
    <row r="982" ht="15.75" customHeight="1">
      <c r="F982" s="27"/>
      <c r="M982" s="27"/>
    </row>
    <row r="983" ht="15.75" customHeight="1">
      <c r="F983" s="27"/>
      <c r="M983" s="27"/>
    </row>
    <row r="984" ht="15.75" customHeight="1">
      <c r="F984" s="27"/>
      <c r="M984" s="27"/>
    </row>
    <row r="985" ht="15.75" customHeight="1">
      <c r="F985" s="27"/>
      <c r="M985" s="27"/>
    </row>
    <row r="986" ht="15.75" customHeight="1">
      <c r="F986" s="27"/>
      <c r="M986" s="27"/>
    </row>
    <row r="987" ht="15.75" customHeight="1">
      <c r="F987" s="27"/>
      <c r="M987" s="27"/>
    </row>
    <row r="988" ht="15.75" customHeight="1">
      <c r="F988" s="27"/>
      <c r="M988" s="27"/>
    </row>
    <row r="989" ht="15.75" customHeight="1">
      <c r="F989" s="27"/>
      <c r="M989" s="27"/>
    </row>
    <row r="990" ht="15.75" customHeight="1">
      <c r="F990" s="27"/>
      <c r="M990" s="27"/>
    </row>
    <row r="991" ht="15.75" customHeight="1">
      <c r="F991" s="27"/>
      <c r="M991" s="27"/>
    </row>
    <row r="992" ht="15.75" customHeight="1">
      <c r="F992" s="27"/>
      <c r="M992" s="27"/>
    </row>
    <row r="993" ht="15.75" customHeight="1">
      <c r="F993" s="27"/>
      <c r="M993" s="27"/>
    </row>
    <row r="994" ht="15.75" customHeight="1">
      <c r="F994" s="27"/>
      <c r="M994" s="27"/>
    </row>
    <row r="995" ht="15.75" customHeight="1">
      <c r="F995" s="27"/>
      <c r="M995" s="27"/>
    </row>
    <row r="996" ht="15.75" customHeight="1">
      <c r="F996" s="27"/>
      <c r="M996" s="27"/>
    </row>
    <row r="997" ht="15.75" customHeight="1">
      <c r="F997" s="27"/>
      <c r="M997" s="27"/>
    </row>
    <row r="998" ht="15.75" customHeight="1">
      <c r="F998" s="27"/>
      <c r="M998" s="27"/>
    </row>
    <row r="999" ht="15.75" customHeight="1">
      <c r="F999" s="27"/>
      <c r="M999" s="27"/>
    </row>
    <row r="1000" ht="15.75" customHeight="1">
      <c r="F1000" s="27"/>
      <c r="M1000" s="27"/>
    </row>
  </sheetData>
  <dataValidations>
    <dataValidation type="list" allowBlank="1" showErrorMessage="1" sqref="G2:G103">
      <formula1>"1 касание,2 касание,3 касание,Тотал игнор,В диалоге,Созвон назначен,Созвон проведен,Отказ клиента,Успешно,Отказ по рассрочке"</formula1>
    </dataValidation>
    <dataValidation type="list" allowBlank="1" showErrorMessage="1" sqref="H2:H47 H49:H103">
      <formula1>"сам,куратор,вип,Индивидуально с Василием"</formula1>
    </dataValidation>
    <dataValidation type="list" allowBlank="1" showErrorMessage="1" sqref="K2:K103">
      <formula1>"рассрочка,сразу"</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2" width="16.88"/>
    <col customWidth="1" min="3" max="3" width="18.25"/>
    <col customWidth="1" min="4" max="4" width="10.5"/>
    <col customWidth="1" min="5" max="10" width="11.13"/>
    <col customWidth="1" min="11" max="11" width="51.5"/>
    <col customWidth="1" min="12" max="26" width="11.13"/>
  </cols>
  <sheetData>
    <row r="1" ht="15.75" customHeight="1">
      <c r="A1" s="91" t="s">
        <v>422</v>
      </c>
      <c r="B1" s="92" t="s">
        <v>3</v>
      </c>
      <c r="C1" s="92" t="s">
        <v>423</v>
      </c>
      <c r="D1" s="92" t="s">
        <v>424</v>
      </c>
      <c r="E1" s="93" t="s">
        <v>425</v>
      </c>
      <c r="F1" s="94" t="s">
        <v>426</v>
      </c>
      <c r="G1" s="92" t="s">
        <v>427</v>
      </c>
      <c r="H1" s="92" t="s">
        <v>284</v>
      </c>
      <c r="I1" s="95" t="s">
        <v>428</v>
      </c>
      <c r="J1" s="92" t="s">
        <v>429</v>
      </c>
      <c r="K1" s="96" t="s">
        <v>430</v>
      </c>
      <c r="L1" s="1"/>
      <c r="M1" s="1"/>
      <c r="N1" s="1"/>
      <c r="O1" s="1"/>
      <c r="P1" s="1"/>
      <c r="Q1" s="1"/>
      <c r="R1" s="1"/>
      <c r="S1" s="1"/>
      <c r="T1" s="1"/>
    </row>
    <row r="2" ht="15.75" customHeight="1">
      <c r="A2" s="97">
        <v>1.0</v>
      </c>
      <c r="B2" s="98" t="s">
        <v>386</v>
      </c>
      <c r="C2" s="99"/>
      <c r="D2" s="98" t="s">
        <v>15</v>
      </c>
      <c r="E2" s="21">
        <v>44990.0</v>
      </c>
      <c r="F2" s="22">
        <v>43415.35</v>
      </c>
      <c r="G2" s="100"/>
      <c r="H2" s="98" t="s">
        <v>293</v>
      </c>
      <c r="I2" s="101">
        <v>45992.0</v>
      </c>
      <c r="J2" s="98" t="s">
        <v>431</v>
      </c>
      <c r="K2" s="102"/>
      <c r="L2" s="1"/>
      <c r="M2" s="1"/>
      <c r="N2" s="1"/>
      <c r="O2" s="1"/>
      <c r="P2" s="1"/>
      <c r="Q2" s="1"/>
      <c r="R2" s="1"/>
      <c r="S2" s="1"/>
      <c r="T2" s="1"/>
    </row>
    <row r="3" ht="15.75" customHeight="1">
      <c r="A3" s="97">
        <v>2.0</v>
      </c>
      <c r="B3" s="98" t="s">
        <v>352</v>
      </c>
      <c r="C3" s="99"/>
      <c r="D3" s="98" t="s">
        <v>37</v>
      </c>
      <c r="E3" s="21">
        <v>34990.0</v>
      </c>
      <c r="F3" s="22">
        <v>28691.8</v>
      </c>
      <c r="G3" s="100"/>
      <c r="H3" s="98" t="s">
        <v>299</v>
      </c>
      <c r="I3" s="101">
        <v>45996.0</v>
      </c>
      <c r="J3" s="98" t="s">
        <v>431</v>
      </c>
      <c r="K3" s="102"/>
      <c r="L3" s="1"/>
      <c r="M3" s="1"/>
      <c r="N3" s="1"/>
      <c r="O3" s="1"/>
      <c r="P3" s="1"/>
      <c r="Q3" s="1"/>
      <c r="R3" s="1"/>
      <c r="S3" s="1"/>
      <c r="T3" s="1"/>
    </row>
    <row r="4" ht="15.75" customHeight="1">
      <c r="A4" s="97">
        <v>3.0</v>
      </c>
      <c r="B4" s="98" t="s">
        <v>29</v>
      </c>
      <c r="C4" s="99"/>
      <c r="D4" s="98" t="s">
        <v>15</v>
      </c>
      <c r="E4" s="21">
        <v>44990.0</v>
      </c>
      <c r="F4" s="22">
        <v>43415.35</v>
      </c>
      <c r="G4" s="100"/>
      <c r="H4" s="98" t="s">
        <v>293</v>
      </c>
      <c r="I4" s="101">
        <v>45996.0</v>
      </c>
      <c r="J4" s="98" t="s">
        <v>431</v>
      </c>
      <c r="K4" s="102"/>
      <c r="L4" s="1"/>
      <c r="M4" s="1"/>
      <c r="N4" s="1"/>
      <c r="O4" s="1"/>
      <c r="P4" s="1"/>
      <c r="Q4" s="1"/>
      <c r="R4" s="1"/>
      <c r="S4" s="1"/>
      <c r="T4" s="1"/>
    </row>
    <row r="5" ht="15.75" customHeight="1">
      <c r="A5" s="97">
        <v>4.0</v>
      </c>
      <c r="B5" s="98" t="s">
        <v>432</v>
      </c>
      <c r="C5" s="99"/>
      <c r="D5" s="98" t="s">
        <v>15</v>
      </c>
      <c r="E5" s="21">
        <v>44990.0</v>
      </c>
      <c r="F5" s="22">
        <v>35992.0</v>
      </c>
      <c r="G5" s="100"/>
      <c r="H5" s="98" t="s">
        <v>299</v>
      </c>
      <c r="I5" s="101">
        <v>45999.0</v>
      </c>
      <c r="J5" s="98" t="s">
        <v>431</v>
      </c>
      <c r="K5" s="102"/>
      <c r="L5" s="1"/>
      <c r="M5" s="1"/>
      <c r="N5" s="1"/>
      <c r="O5" s="1"/>
      <c r="P5" s="1"/>
      <c r="Q5" s="1"/>
      <c r="R5" s="1"/>
      <c r="S5" s="1"/>
      <c r="T5" s="1"/>
    </row>
    <row r="6" ht="15.75" customHeight="1">
      <c r="A6" s="97">
        <v>5.0</v>
      </c>
      <c r="B6" s="98" t="s">
        <v>433</v>
      </c>
      <c r="C6" s="99"/>
      <c r="D6" s="98" t="s">
        <v>335</v>
      </c>
      <c r="E6" s="21">
        <v>79990.0</v>
      </c>
      <c r="F6" s="22">
        <v>65591.8</v>
      </c>
      <c r="G6" s="100"/>
      <c r="H6" s="98" t="s">
        <v>299</v>
      </c>
      <c r="I6" s="101">
        <v>46000.0</v>
      </c>
      <c r="J6" s="98" t="s">
        <v>431</v>
      </c>
      <c r="K6" s="102"/>
      <c r="L6" s="1"/>
      <c r="M6" s="1"/>
      <c r="N6" s="1"/>
      <c r="O6" s="1"/>
      <c r="P6" s="1"/>
      <c r="Q6" s="1"/>
      <c r="R6" s="1"/>
      <c r="S6" s="1"/>
      <c r="T6" s="1"/>
    </row>
    <row r="7" ht="15.75" customHeight="1">
      <c r="A7" s="97">
        <v>6.0</v>
      </c>
      <c r="B7" s="98" t="s">
        <v>434</v>
      </c>
      <c r="C7" s="99"/>
      <c r="D7" s="98" t="s">
        <v>15</v>
      </c>
      <c r="E7" s="21">
        <v>44990.0</v>
      </c>
      <c r="F7" s="22">
        <v>41165.0</v>
      </c>
      <c r="G7" s="100"/>
      <c r="H7" s="98" t="s">
        <v>299</v>
      </c>
      <c r="I7" s="101">
        <v>46018.0</v>
      </c>
      <c r="J7" s="98" t="s">
        <v>431</v>
      </c>
      <c r="K7" s="102"/>
      <c r="L7" s="1"/>
      <c r="M7" s="1"/>
      <c r="N7" s="1"/>
      <c r="O7" s="1"/>
      <c r="P7" s="1"/>
      <c r="Q7" s="1"/>
      <c r="R7" s="1"/>
      <c r="S7" s="1"/>
      <c r="T7" s="1"/>
    </row>
    <row r="8" ht="15.75" customHeight="1">
      <c r="A8" s="97">
        <v>7.0</v>
      </c>
      <c r="B8" s="98" t="s">
        <v>386</v>
      </c>
      <c r="C8" s="99"/>
      <c r="D8" s="98" t="s">
        <v>335</v>
      </c>
      <c r="E8" s="21">
        <v>79990.0</v>
      </c>
      <c r="F8" s="22">
        <v>73190.85</v>
      </c>
      <c r="G8" s="100"/>
      <c r="H8" s="98" t="s">
        <v>299</v>
      </c>
      <c r="I8" s="101">
        <v>46029.0</v>
      </c>
      <c r="J8" s="98" t="s">
        <v>431</v>
      </c>
      <c r="K8" s="102"/>
      <c r="L8" s="1"/>
      <c r="M8" s="1"/>
      <c r="N8" s="1"/>
      <c r="O8" s="1"/>
      <c r="P8" s="1"/>
      <c r="Q8" s="1"/>
      <c r="R8" s="1"/>
      <c r="S8" s="1"/>
      <c r="T8" s="1"/>
    </row>
    <row r="9" ht="15.75" customHeight="1">
      <c r="A9" s="97">
        <v>8.0</v>
      </c>
      <c r="B9" s="98" t="s">
        <v>265</v>
      </c>
      <c r="C9" s="99"/>
      <c r="D9" s="98" t="s">
        <v>335</v>
      </c>
      <c r="E9" s="21">
        <v>79990.0</v>
      </c>
      <c r="F9" s="22">
        <v>65191.85</v>
      </c>
      <c r="G9" s="100"/>
      <c r="H9" s="98" t="s">
        <v>299</v>
      </c>
      <c r="I9" s="101">
        <v>46033.0</v>
      </c>
      <c r="J9" s="98" t="s">
        <v>431</v>
      </c>
      <c r="K9" s="102"/>
      <c r="L9" s="1"/>
      <c r="M9" s="1"/>
      <c r="N9" s="1"/>
      <c r="O9" s="1"/>
      <c r="P9" s="1"/>
      <c r="Q9" s="1"/>
      <c r="R9" s="1"/>
      <c r="S9" s="1"/>
      <c r="T9" s="1"/>
    </row>
    <row r="10" ht="15.75" customHeight="1">
      <c r="A10" s="97">
        <v>9.0</v>
      </c>
      <c r="B10" s="98" t="s">
        <v>435</v>
      </c>
      <c r="C10" s="99"/>
      <c r="D10" s="98" t="s">
        <v>335</v>
      </c>
      <c r="E10" s="21">
        <v>55993.0</v>
      </c>
      <c r="F10" s="22">
        <v>47762.03</v>
      </c>
      <c r="G10" s="100"/>
      <c r="H10" s="98" t="s">
        <v>299</v>
      </c>
      <c r="I10" s="101">
        <v>46038.0</v>
      </c>
      <c r="J10" s="98" t="s">
        <v>431</v>
      </c>
      <c r="K10" s="102"/>
      <c r="L10" s="1"/>
      <c r="M10" s="1"/>
      <c r="N10" s="1"/>
      <c r="O10" s="1"/>
      <c r="P10" s="1"/>
      <c r="Q10" s="1"/>
      <c r="R10" s="1"/>
      <c r="S10" s="1"/>
      <c r="T10" s="1"/>
    </row>
    <row r="11" ht="15.75" customHeight="1">
      <c r="A11" s="97">
        <v>10.0</v>
      </c>
      <c r="B11" s="98" t="s">
        <v>29</v>
      </c>
      <c r="C11" s="99"/>
      <c r="D11" s="98" t="s">
        <v>37</v>
      </c>
      <c r="E11" s="21">
        <v>24493.0</v>
      </c>
      <c r="F11" s="22">
        <v>23635.75</v>
      </c>
      <c r="G11" s="100"/>
      <c r="H11" s="98" t="s">
        <v>293</v>
      </c>
      <c r="I11" s="101">
        <v>46038.0</v>
      </c>
      <c r="J11" s="98" t="s">
        <v>431</v>
      </c>
      <c r="K11" s="102"/>
      <c r="L11" s="1"/>
      <c r="M11" s="1"/>
      <c r="N11" s="1"/>
      <c r="O11" s="1"/>
      <c r="P11" s="1"/>
      <c r="Q11" s="1"/>
      <c r="R11" s="1"/>
      <c r="S11" s="1"/>
      <c r="T11" s="1"/>
    </row>
    <row r="12" ht="15.75" customHeight="1">
      <c r="A12" s="97">
        <v>11.0</v>
      </c>
      <c r="B12" s="98" t="s">
        <v>71</v>
      </c>
      <c r="C12" s="99"/>
      <c r="D12" s="98" t="s">
        <v>37</v>
      </c>
      <c r="E12" s="21">
        <v>34990.0</v>
      </c>
      <c r="F12" s="22">
        <v>33765.35</v>
      </c>
      <c r="G12" s="100"/>
      <c r="H12" s="98" t="s">
        <v>293</v>
      </c>
      <c r="I12" s="101">
        <v>46039.0</v>
      </c>
      <c r="J12" s="98" t="s">
        <v>436</v>
      </c>
      <c r="K12" s="102"/>
      <c r="L12" s="1"/>
      <c r="M12" s="1"/>
      <c r="N12" s="1"/>
      <c r="O12" s="1"/>
      <c r="P12" s="1"/>
      <c r="Q12" s="1"/>
      <c r="R12" s="1"/>
      <c r="S12" s="1"/>
      <c r="T12" s="1"/>
    </row>
    <row r="13" ht="15.75" customHeight="1">
      <c r="A13" s="97">
        <v>12.0</v>
      </c>
      <c r="B13" s="98" t="s">
        <v>12</v>
      </c>
      <c r="C13" s="99"/>
      <c r="D13" s="98" t="s">
        <v>335</v>
      </c>
      <c r="E13" s="21">
        <v>79990.0</v>
      </c>
      <c r="F13" s="22">
        <v>69111.36</v>
      </c>
      <c r="G13" s="100"/>
      <c r="H13" s="98" t="s">
        <v>299</v>
      </c>
      <c r="I13" s="101">
        <v>46040.0</v>
      </c>
      <c r="J13" s="98" t="s">
        <v>437</v>
      </c>
      <c r="K13" s="102"/>
      <c r="L13" s="1"/>
      <c r="M13" s="1"/>
      <c r="N13" s="1"/>
      <c r="O13" s="1"/>
      <c r="P13" s="1"/>
      <c r="Q13" s="1"/>
      <c r="R13" s="1"/>
      <c r="S13" s="1"/>
      <c r="T13" s="1"/>
    </row>
    <row r="14" ht="15.75" customHeight="1">
      <c r="A14" s="97">
        <v>13.0</v>
      </c>
      <c r="B14" s="98" t="s">
        <v>290</v>
      </c>
      <c r="C14" s="99"/>
      <c r="D14" s="98" t="s">
        <v>335</v>
      </c>
      <c r="E14" s="21">
        <v>71990.0</v>
      </c>
      <c r="F14" s="22">
        <v>69470.0</v>
      </c>
      <c r="G14" s="100"/>
      <c r="H14" s="98" t="s">
        <v>293</v>
      </c>
      <c r="I14" s="101">
        <v>46043.0</v>
      </c>
      <c r="J14" s="98" t="s">
        <v>437</v>
      </c>
      <c r="K14" s="102"/>
      <c r="L14" s="1"/>
      <c r="M14" s="1"/>
      <c r="N14" s="1"/>
      <c r="O14" s="1"/>
      <c r="P14" s="1"/>
      <c r="Q14" s="1"/>
      <c r="R14" s="1"/>
      <c r="S14" s="1"/>
      <c r="T14" s="1"/>
    </row>
    <row r="15" ht="15.75" customHeight="1">
      <c r="A15" s="97">
        <v>14.0</v>
      </c>
      <c r="B15" s="98" t="s">
        <v>84</v>
      </c>
      <c r="C15" s="99"/>
      <c r="D15" s="98" t="s">
        <v>37</v>
      </c>
      <c r="E15" s="21">
        <v>34990.0</v>
      </c>
      <c r="F15" s="22">
        <v>33765.35</v>
      </c>
      <c r="G15" s="100"/>
      <c r="H15" s="98" t="s">
        <v>293</v>
      </c>
      <c r="I15" s="101">
        <v>46044.0</v>
      </c>
      <c r="J15" s="98" t="s">
        <v>437</v>
      </c>
      <c r="K15" s="102"/>
      <c r="L15" s="1"/>
      <c r="M15" s="1"/>
      <c r="N15" s="1"/>
      <c r="O15" s="1"/>
      <c r="P15" s="1"/>
      <c r="Q15" s="1"/>
      <c r="R15" s="1"/>
      <c r="S15" s="1"/>
      <c r="T15" s="1"/>
    </row>
    <row r="16" ht="15.75" customHeight="1">
      <c r="A16" s="97">
        <v>15.0</v>
      </c>
      <c r="B16" s="98" t="s">
        <v>59</v>
      </c>
      <c r="C16" s="99"/>
      <c r="D16" s="98" t="s">
        <v>335</v>
      </c>
      <c r="E16" s="21">
        <v>79990.0</v>
      </c>
      <c r="F16" s="22">
        <v>77190.55</v>
      </c>
      <c r="G16" s="100"/>
      <c r="H16" s="98" t="s">
        <v>293</v>
      </c>
      <c r="I16" s="101">
        <v>46049.0</v>
      </c>
      <c r="J16" s="98" t="s">
        <v>437</v>
      </c>
      <c r="K16" s="102"/>
      <c r="L16" s="1"/>
      <c r="M16" s="1"/>
      <c r="N16" s="1"/>
      <c r="O16" s="1"/>
      <c r="P16" s="1"/>
      <c r="Q16" s="1"/>
      <c r="R16" s="1"/>
      <c r="S16" s="1"/>
      <c r="T16" s="1"/>
    </row>
    <row r="17" ht="15.75" customHeight="1">
      <c r="A17" s="97">
        <v>16.0</v>
      </c>
      <c r="B17" s="103" t="s">
        <v>438</v>
      </c>
      <c r="C17" s="99"/>
      <c r="D17" s="98" t="s">
        <v>335</v>
      </c>
      <c r="E17" s="21">
        <v>79990.0</v>
      </c>
      <c r="F17" s="22">
        <v>77190.55</v>
      </c>
      <c r="G17" s="100"/>
      <c r="H17" s="98" t="s">
        <v>293</v>
      </c>
      <c r="I17" s="101">
        <v>46049.0</v>
      </c>
      <c r="J17" s="98" t="s">
        <v>437</v>
      </c>
      <c r="K17" s="102"/>
      <c r="L17" s="1"/>
      <c r="M17" s="1"/>
      <c r="N17" s="1"/>
      <c r="O17" s="1"/>
      <c r="P17" s="1"/>
      <c r="Q17" s="1"/>
      <c r="R17" s="1"/>
      <c r="S17" s="1"/>
      <c r="T17" s="1"/>
    </row>
    <row r="18" ht="15.75" customHeight="1">
      <c r="A18" s="97">
        <v>17.0</v>
      </c>
      <c r="B18" s="98" t="s">
        <v>12</v>
      </c>
      <c r="C18" s="99"/>
      <c r="D18" s="104" t="s">
        <v>15</v>
      </c>
      <c r="E18" s="21">
        <v>59900.0</v>
      </c>
      <c r="F18" s="105">
        <v>48818.0</v>
      </c>
      <c r="G18" s="100"/>
      <c r="H18" s="98" t="s">
        <v>299</v>
      </c>
      <c r="I18" s="101">
        <v>46049.0</v>
      </c>
      <c r="J18" s="98" t="s">
        <v>439</v>
      </c>
      <c r="K18" s="102"/>
      <c r="L18" s="1"/>
      <c r="M18" s="1"/>
      <c r="N18" s="1"/>
      <c r="O18" s="1"/>
      <c r="P18" s="1"/>
      <c r="Q18" s="1"/>
      <c r="R18" s="1"/>
      <c r="S18" s="1"/>
      <c r="T18" s="1"/>
    </row>
    <row r="19" ht="15.75" customHeight="1">
      <c r="A19" s="97">
        <v>18.0</v>
      </c>
      <c r="B19" s="103" t="s">
        <v>35</v>
      </c>
      <c r="C19" s="99"/>
      <c r="D19" s="104" t="s">
        <v>37</v>
      </c>
      <c r="E19" s="21">
        <v>34990.0</v>
      </c>
      <c r="F19" s="105">
        <v>28691.8</v>
      </c>
      <c r="G19" s="100"/>
      <c r="H19" s="98" t="s">
        <v>299</v>
      </c>
      <c r="I19" s="101">
        <v>46047.0</v>
      </c>
      <c r="J19" s="98" t="s">
        <v>439</v>
      </c>
      <c r="K19" s="102"/>
      <c r="L19" s="1"/>
      <c r="M19" s="1"/>
      <c r="N19" s="1"/>
      <c r="O19" s="1"/>
      <c r="P19" s="1"/>
      <c r="Q19" s="1"/>
      <c r="R19" s="1"/>
      <c r="S19" s="1"/>
      <c r="T19" s="1"/>
    </row>
    <row r="20" ht="15.75" customHeight="1">
      <c r="A20" s="97">
        <v>19.0</v>
      </c>
      <c r="B20" s="103" t="s">
        <v>39</v>
      </c>
      <c r="C20" s="99"/>
      <c r="D20" s="104" t="s">
        <v>15</v>
      </c>
      <c r="E20" s="21">
        <v>54990.0</v>
      </c>
      <c r="F20" s="105">
        <v>44816.85</v>
      </c>
      <c r="G20" s="100"/>
      <c r="H20" s="98" t="s">
        <v>299</v>
      </c>
      <c r="I20" s="101">
        <v>46048.0</v>
      </c>
      <c r="J20" s="98" t="s">
        <v>439</v>
      </c>
      <c r="K20" s="102"/>
      <c r="L20" s="1"/>
      <c r="M20" s="1"/>
      <c r="N20" s="1"/>
      <c r="O20" s="1"/>
      <c r="P20" s="1"/>
      <c r="Q20" s="1"/>
      <c r="R20" s="1"/>
      <c r="S20" s="1"/>
      <c r="T20" s="1"/>
    </row>
    <row r="21" ht="15.75" customHeight="1">
      <c r="A21" s="97">
        <v>20.0</v>
      </c>
      <c r="B21" s="98" t="s">
        <v>41</v>
      </c>
      <c r="C21" s="99"/>
      <c r="D21" s="104" t="s">
        <v>15</v>
      </c>
      <c r="E21" s="21">
        <v>54990.0</v>
      </c>
      <c r="F21" s="105">
        <v>52978.0</v>
      </c>
      <c r="G21" s="100"/>
      <c r="H21" s="98" t="s">
        <v>293</v>
      </c>
      <c r="I21" s="101">
        <v>46051.0</v>
      </c>
      <c r="J21" s="98" t="s">
        <v>439</v>
      </c>
      <c r="K21" s="102"/>
      <c r="L21" s="1"/>
      <c r="M21" s="1"/>
      <c r="N21" s="1"/>
      <c r="O21" s="1"/>
      <c r="P21" s="1"/>
      <c r="Q21" s="1"/>
      <c r="R21" s="1"/>
      <c r="S21" s="1"/>
      <c r="T21" s="1"/>
    </row>
    <row r="22" ht="15.75" customHeight="1">
      <c r="A22" s="97">
        <v>21.0</v>
      </c>
      <c r="B22" s="98" t="s">
        <v>440</v>
      </c>
      <c r="C22" s="99"/>
      <c r="D22" s="104" t="s">
        <v>15</v>
      </c>
      <c r="E22" s="21">
        <v>44990.0</v>
      </c>
      <c r="F22" s="105">
        <v>43415.35</v>
      </c>
      <c r="G22" s="100"/>
      <c r="H22" s="98" t="s">
        <v>293</v>
      </c>
      <c r="I22" s="101">
        <v>46046.0</v>
      </c>
      <c r="J22" s="98" t="s">
        <v>439</v>
      </c>
      <c r="K22" s="102"/>
      <c r="L22" s="1"/>
      <c r="M22" s="1"/>
      <c r="N22" s="1"/>
      <c r="O22" s="1"/>
      <c r="P22" s="1"/>
      <c r="Q22" s="1"/>
      <c r="R22" s="1"/>
      <c r="S22" s="1"/>
      <c r="T22" s="1"/>
    </row>
    <row r="23" ht="15.75" customHeight="1">
      <c r="A23" s="97">
        <v>22.0</v>
      </c>
      <c r="B23" s="98" t="s">
        <v>76</v>
      </c>
      <c r="C23" s="99"/>
      <c r="D23" s="104" t="s">
        <v>37</v>
      </c>
      <c r="E23" s="21">
        <v>39990.0</v>
      </c>
      <c r="F23" s="105">
        <v>31920.0</v>
      </c>
      <c r="G23" s="100"/>
      <c r="H23" s="98" t="s">
        <v>299</v>
      </c>
      <c r="I23" s="101">
        <v>46049.0</v>
      </c>
      <c r="J23" s="98" t="s">
        <v>439</v>
      </c>
      <c r="K23" s="102"/>
      <c r="L23" s="1"/>
      <c r="M23" s="1"/>
      <c r="N23" s="1"/>
      <c r="O23" s="1"/>
      <c r="P23" s="1"/>
      <c r="Q23" s="1"/>
      <c r="R23" s="1"/>
      <c r="S23" s="1"/>
      <c r="T23" s="1"/>
    </row>
    <row r="24" ht="15.75" customHeight="1">
      <c r="A24" s="97">
        <v>23.0</v>
      </c>
      <c r="B24" s="98" t="s">
        <v>90</v>
      </c>
      <c r="C24" s="99"/>
      <c r="D24" s="104" t="s">
        <v>15</v>
      </c>
      <c r="E24" s="21">
        <v>54900.0</v>
      </c>
      <c r="F24" s="105">
        <v>52978.0</v>
      </c>
      <c r="G24" s="100"/>
      <c r="H24" s="98" t="s">
        <v>293</v>
      </c>
      <c r="I24" s="101">
        <v>46054.0</v>
      </c>
      <c r="J24" s="98" t="s">
        <v>439</v>
      </c>
      <c r="K24" s="102"/>
      <c r="L24" s="1"/>
      <c r="M24" s="1"/>
      <c r="N24" s="1"/>
      <c r="O24" s="1"/>
      <c r="P24" s="1"/>
      <c r="Q24" s="1"/>
      <c r="R24" s="1"/>
      <c r="S24" s="1"/>
      <c r="T24" s="1"/>
    </row>
    <row r="25" ht="15.75" customHeight="1">
      <c r="A25" s="97">
        <v>24.0</v>
      </c>
      <c r="B25" s="98" t="s">
        <v>105</v>
      </c>
      <c r="C25" s="99"/>
      <c r="D25" s="104" t="s">
        <v>15</v>
      </c>
      <c r="E25" s="21">
        <v>16500.0</v>
      </c>
      <c r="F25" s="105">
        <v>16067.0</v>
      </c>
      <c r="G25" s="100">
        <f>F25*2</f>
        <v>32134</v>
      </c>
      <c r="H25" s="98" t="s">
        <v>293</v>
      </c>
      <c r="I25" s="101">
        <v>46055.0</v>
      </c>
      <c r="J25" s="98" t="s">
        <v>439</v>
      </c>
      <c r="K25" s="102" t="s">
        <v>441</v>
      </c>
      <c r="L25" s="1"/>
      <c r="M25" s="1"/>
      <c r="N25" s="1"/>
      <c r="O25" s="1"/>
      <c r="P25" s="1"/>
      <c r="Q25" s="1"/>
      <c r="R25" s="1"/>
      <c r="S25" s="1"/>
      <c r="T25" s="1"/>
    </row>
    <row r="26" ht="15.75" customHeight="1">
      <c r="A26" s="97">
        <v>25.0</v>
      </c>
      <c r="B26" s="103" t="s">
        <v>12</v>
      </c>
      <c r="C26" s="99"/>
      <c r="D26" s="98" t="s">
        <v>335</v>
      </c>
      <c r="E26" s="21">
        <v>79990.0</v>
      </c>
      <c r="F26" s="105">
        <v>63992.0</v>
      </c>
      <c r="G26" s="100"/>
      <c r="H26" s="98" t="s">
        <v>299</v>
      </c>
      <c r="I26" s="101">
        <v>46055.0</v>
      </c>
      <c r="J26" s="98" t="s">
        <v>437</v>
      </c>
      <c r="K26" s="102"/>
      <c r="L26" s="1"/>
      <c r="M26" s="1"/>
      <c r="N26" s="1"/>
      <c r="O26" s="1"/>
      <c r="P26" s="1"/>
      <c r="Q26" s="1"/>
      <c r="R26" s="1"/>
      <c r="S26" s="1"/>
      <c r="T26" s="1"/>
    </row>
    <row r="27" ht="15.75" customHeight="1">
      <c r="A27" s="97">
        <v>26.0</v>
      </c>
      <c r="B27" s="98" t="s">
        <v>29</v>
      </c>
      <c r="C27" s="106"/>
      <c r="D27" s="104" t="s">
        <v>37</v>
      </c>
      <c r="E27" s="21">
        <v>31490.0</v>
      </c>
      <c r="F27" s="105">
        <v>30387.85</v>
      </c>
      <c r="G27" s="100"/>
      <c r="H27" s="98" t="s">
        <v>293</v>
      </c>
      <c r="I27" s="101">
        <v>46056.0</v>
      </c>
      <c r="J27" s="98" t="s">
        <v>437</v>
      </c>
      <c r="K27" s="102"/>
      <c r="L27" s="1"/>
      <c r="M27" s="1"/>
      <c r="N27" s="1"/>
      <c r="O27" s="1"/>
      <c r="P27" s="1"/>
      <c r="Q27" s="1"/>
      <c r="R27" s="1"/>
      <c r="S27" s="1"/>
      <c r="T27" s="1"/>
    </row>
    <row r="28" ht="15.75" customHeight="1">
      <c r="A28" s="97">
        <v>27.0</v>
      </c>
      <c r="B28" s="98" t="s">
        <v>442</v>
      </c>
      <c r="C28" s="99"/>
      <c r="D28" s="104" t="s">
        <v>15</v>
      </c>
      <c r="E28" s="21">
        <v>54900.0</v>
      </c>
      <c r="F28" s="105">
        <v>52978.0</v>
      </c>
      <c r="G28" s="100"/>
      <c r="H28" s="98" t="s">
        <v>293</v>
      </c>
      <c r="I28" s="101">
        <v>46057.0</v>
      </c>
      <c r="J28" s="98" t="s">
        <v>439</v>
      </c>
      <c r="K28" s="102"/>
      <c r="L28" s="1"/>
      <c r="M28" s="1"/>
      <c r="N28" s="1"/>
      <c r="O28" s="1"/>
      <c r="P28" s="1"/>
      <c r="Q28" s="1"/>
      <c r="R28" s="1"/>
      <c r="S28" s="1"/>
      <c r="T28" s="1"/>
    </row>
    <row r="29" ht="15.75" customHeight="1">
      <c r="A29" s="97">
        <v>28.0</v>
      </c>
      <c r="B29" s="98" t="s">
        <v>71</v>
      </c>
      <c r="C29" s="99"/>
      <c r="D29" s="104" t="s">
        <v>37</v>
      </c>
      <c r="E29" s="21">
        <f>29900+5000</f>
        <v>34900</v>
      </c>
      <c r="F29" s="105">
        <f>27358+5000</f>
        <v>32358</v>
      </c>
      <c r="G29" s="100"/>
      <c r="H29" s="98" t="s">
        <v>293</v>
      </c>
      <c r="I29" s="101">
        <v>46057.0</v>
      </c>
      <c r="J29" s="98" t="s">
        <v>439</v>
      </c>
      <c r="K29" s="102" t="s">
        <v>443</v>
      </c>
      <c r="L29" s="1"/>
      <c r="M29" s="1"/>
      <c r="N29" s="1"/>
      <c r="O29" s="1"/>
      <c r="P29" s="1"/>
      <c r="Q29" s="1"/>
      <c r="R29" s="1"/>
      <c r="S29" s="1"/>
      <c r="T29" s="1"/>
    </row>
    <row r="30" ht="15.75" customHeight="1">
      <c r="A30" s="97">
        <v>29.0</v>
      </c>
      <c r="B30" s="98" t="s">
        <v>100</v>
      </c>
      <c r="C30" s="99"/>
      <c r="D30" s="107" t="s">
        <v>37</v>
      </c>
      <c r="E30" s="21">
        <v>34990.0</v>
      </c>
      <c r="F30" s="105">
        <v>28691.0</v>
      </c>
      <c r="G30" s="100"/>
      <c r="H30" s="98" t="s">
        <v>293</v>
      </c>
      <c r="I30" s="101">
        <v>46057.0</v>
      </c>
      <c r="J30" s="98" t="s">
        <v>439</v>
      </c>
      <c r="K30" s="102"/>
      <c r="L30" s="1"/>
      <c r="M30" s="1"/>
      <c r="N30" s="1"/>
      <c r="O30" s="1"/>
      <c r="P30" s="1"/>
      <c r="Q30" s="1"/>
      <c r="R30" s="1"/>
      <c r="S30" s="1"/>
      <c r="T30" s="1"/>
    </row>
    <row r="31" ht="15.75" customHeight="1">
      <c r="A31" s="97">
        <v>30.0</v>
      </c>
      <c r="B31" s="98" t="s">
        <v>297</v>
      </c>
      <c r="C31" s="99"/>
      <c r="D31" s="108" t="s">
        <v>15</v>
      </c>
      <c r="E31" s="21">
        <v>54900.0</v>
      </c>
      <c r="F31" s="105">
        <v>43992.0</v>
      </c>
      <c r="G31" s="100"/>
      <c r="H31" s="98" t="s">
        <v>299</v>
      </c>
      <c r="I31" s="101">
        <v>46057.0</v>
      </c>
      <c r="J31" s="98" t="s">
        <v>444</v>
      </c>
      <c r="K31" s="102" t="s">
        <v>445</v>
      </c>
      <c r="L31" s="1"/>
      <c r="M31" s="1"/>
      <c r="N31" s="1"/>
      <c r="O31" s="1"/>
      <c r="P31" s="1"/>
      <c r="Q31" s="1"/>
      <c r="R31" s="1"/>
      <c r="S31" s="1"/>
      <c r="T31" s="1"/>
    </row>
    <row r="32" ht="15.75" customHeight="1">
      <c r="A32" s="97">
        <v>31.0</v>
      </c>
      <c r="B32" s="98" t="s">
        <v>71</v>
      </c>
      <c r="C32" s="99"/>
      <c r="D32" s="107" t="s">
        <v>37</v>
      </c>
      <c r="E32" s="21">
        <v>34990.0</v>
      </c>
      <c r="F32" s="105">
        <v>28516.0</v>
      </c>
      <c r="G32" s="109"/>
      <c r="H32" s="98" t="s">
        <v>299</v>
      </c>
      <c r="I32" s="101">
        <v>46058.0</v>
      </c>
      <c r="J32" s="98" t="s">
        <v>439</v>
      </c>
      <c r="K32" s="102"/>
      <c r="L32" s="1"/>
      <c r="M32" s="1"/>
      <c r="N32" s="1"/>
      <c r="O32" s="1"/>
      <c r="P32" s="1"/>
      <c r="Q32" s="1"/>
      <c r="R32" s="1"/>
      <c r="S32" s="1"/>
      <c r="T32" s="1"/>
    </row>
    <row r="33" ht="15.75" customHeight="1">
      <c r="A33" s="97">
        <v>32.0</v>
      </c>
      <c r="B33" s="98" t="s">
        <v>113</v>
      </c>
      <c r="C33" s="99"/>
      <c r="D33" s="107" t="s">
        <v>37</v>
      </c>
      <c r="E33" s="21">
        <v>34990.0</v>
      </c>
      <c r="F33" s="105">
        <v>28691.0</v>
      </c>
      <c r="G33" s="109"/>
      <c r="H33" s="98" t="s">
        <v>299</v>
      </c>
      <c r="I33" s="101">
        <v>46058.0</v>
      </c>
      <c r="J33" s="98" t="s">
        <v>439</v>
      </c>
      <c r="K33" s="102"/>
      <c r="L33" s="1"/>
      <c r="M33" s="1"/>
      <c r="N33" s="1"/>
      <c r="O33" s="1"/>
      <c r="P33" s="1"/>
      <c r="Q33" s="1"/>
      <c r="R33" s="1"/>
      <c r="S33" s="1"/>
      <c r="T33" s="1"/>
    </row>
    <row r="34" ht="15.75" customHeight="1">
      <c r="A34" s="97">
        <v>33.0</v>
      </c>
      <c r="B34" s="98" t="s">
        <v>19</v>
      </c>
      <c r="C34" s="99"/>
      <c r="D34" s="107" t="s">
        <v>335</v>
      </c>
      <c r="E34" s="21">
        <v>79900.0</v>
      </c>
      <c r="F34" s="105">
        <v>63992.0</v>
      </c>
      <c r="G34" s="109"/>
      <c r="H34" s="98" t="s">
        <v>299</v>
      </c>
      <c r="I34" s="101">
        <v>46058.0</v>
      </c>
      <c r="J34" s="98" t="s">
        <v>439</v>
      </c>
      <c r="K34" s="102"/>
      <c r="L34" s="1"/>
      <c r="M34" s="1"/>
      <c r="N34" s="1"/>
      <c r="O34" s="1"/>
      <c r="P34" s="1"/>
      <c r="Q34" s="1"/>
      <c r="R34" s="1"/>
      <c r="S34" s="1"/>
      <c r="T34" s="1"/>
    </row>
    <row r="35" ht="15.75" customHeight="1">
      <c r="A35" s="97">
        <v>34.0</v>
      </c>
      <c r="B35" s="98" t="s">
        <v>446</v>
      </c>
      <c r="C35" s="99"/>
      <c r="D35" s="107" t="s">
        <v>37</v>
      </c>
      <c r="E35" s="21">
        <v>34990.0</v>
      </c>
      <c r="F35" s="105">
        <v>33765.0</v>
      </c>
      <c r="G35" s="100"/>
      <c r="H35" s="98" t="s">
        <v>293</v>
      </c>
      <c r="I35" s="101">
        <v>46058.0</v>
      </c>
      <c r="J35" s="98" t="s">
        <v>439</v>
      </c>
      <c r="K35" s="102"/>
      <c r="L35" s="1"/>
      <c r="M35" s="1"/>
      <c r="N35" s="1"/>
      <c r="O35" s="1"/>
      <c r="P35" s="1"/>
      <c r="Q35" s="1"/>
      <c r="R35" s="1"/>
      <c r="S35" s="1"/>
      <c r="T35" s="1"/>
    </row>
    <row r="36" ht="15.75" customHeight="1">
      <c r="A36" s="97">
        <v>35.0</v>
      </c>
      <c r="B36" s="98" t="s">
        <v>333</v>
      </c>
      <c r="C36" s="99"/>
      <c r="D36" s="107" t="s">
        <v>335</v>
      </c>
      <c r="E36" s="21">
        <v>71990.0</v>
      </c>
      <c r="F36" s="105">
        <v>69470.0</v>
      </c>
      <c r="G36" s="100"/>
      <c r="H36" s="98" t="s">
        <v>293</v>
      </c>
      <c r="I36" s="101">
        <v>46058.0</v>
      </c>
      <c r="J36" s="98" t="s">
        <v>444</v>
      </c>
      <c r="K36" s="102"/>
      <c r="L36" s="1"/>
      <c r="M36" s="1"/>
      <c r="N36" s="1"/>
      <c r="O36" s="1"/>
      <c r="P36" s="1"/>
      <c r="Q36" s="1"/>
      <c r="R36" s="1"/>
      <c r="S36" s="1"/>
      <c r="T36" s="1"/>
    </row>
    <row r="37" ht="15.75" customHeight="1">
      <c r="A37" s="97">
        <v>36.0</v>
      </c>
      <c r="B37" s="98" t="s">
        <v>167</v>
      </c>
      <c r="C37" s="99"/>
      <c r="D37" s="107" t="s">
        <v>37</v>
      </c>
      <c r="E37" s="21">
        <v>34990.0</v>
      </c>
      <c r="F37" s="105">
        <v>34990.0</v>
      </c>
      <c r="G37" s="100"/>
      <c r="H37" s="98" t="s">
        <v>293</v>
      </c>
      <c r="I37" s="101">
        <v>46058.0</v>
      </c>
      <c r="J37" s="98" t="s">
        <v>439</v>
      </c>
      <c r="K37" s="102" t="s">
        <v>447</v>
      </c>
      <c r="L37" s="1"/>
      <c r="M37" s="1"/>
      <c r="N37" s="1"/>
      <c r="O37" s="1"/>
      <c r="P37" s="1"/>
      <c r="Q37" s="1"/>
      <c r="R37" s="1"/>
      <c r="S37" s="1"/>
      <c r="T37" s="1"/>
    </row>
    <row r="38" ht="15.75" customHeight="1">
      <c r="A38" s="97">
        <v>37.0</v>
      </c>
      <c r="B38" s="98" t="s">
        <v>16</v>
      </c>
      <c r="C38" s="99"/>
      <c r="D38" s="107" t="s">
        <v>15</v>
      </c>
      <c r="E38" s="21">
        <v>54990.0</v>
      </c>
      <c r="F38" s="105">
        <v>43992.0</v>
      </c>
      <c r="G38" s="100"/>
      <c r="H38" s="98" t="s">
        <v>299</v>
      </c>
      <c r="I38" s="101">
        <v>46058.0</v>
      </c>
      <c r="J38" s="98" t="s">
        <v>439</v>
      </c>
      <c r="K38" s="102"/>
      <c r="L38" s="1"/>
      <c r="M38" s="1"/>
      <c r="N38" s="1"/>
      <c r="O38" s="1"/>
      <c r="P38" s="1"/>
      <c r="Q38" s="1"/>
      <c r="R38" s="1"/>
      <c r="S38" s="1"/>
      <c r="T38" s="1"/>
    </row>
    <row r="39" ht="15.75" customHeight="1">
      <c r="A39" s="97">
        <v>38.0</v>
      </c>
      <c r="B39" s="98" t="s">
        <v>186</v>
      </c>
      <c r="C39" s="99"/>
      <c r="D39" s="107" t="s">
        <v>15</v>
      </c>
      <c r="E39" s="21">
        <v>54990.0</v>
      </c>
      <c r="F39" s="105">
        <v>44816.0</v>
      </c>
      <c r="G39" s="100"/>
      <c r="H39" s="98" t="s">
        <v>299</v>
      </c>
      <c r="I39" s="101">
        <v>46058.0</v>
      </c>
      <c r="J39" s="98" t="s">
        <v>439</v>
      </c>
      <c r="K39" s="102"/>
      <c r="L39" s="1"/>
      <c r="M39" s="1"/>
      <c r="N39" s="1"/>
      <c r="O39" s="1"/>
      <c r="P39" s="1"/>
      <c r="Q39" s="1"/>
      <c r="R39" s="1"/>
      <c r="S39" s="1"/>
      <c r="T39" s="1"/>
    </row>
    <row r="40" ht="15.75" customHeight="1">
      <c r="A40" s="97">
        <v>39.0</v>
      </c>
      <c r="B40" s="98" t="s">
        <v>35</v>
      </c>
      <c r="C40" s="99"/>
      <c r="D40" s="107" t="s">
        <v>37</v>
      </c>
      <c r="E40" s="21">
        <v>34990.0</v>
      </c>
      <c r="F40" s="105">
        <v>33765.0</v>
      </c>
      <c r="G40" s="100"/>
      <c r="H40" s="98" t="s">
        <v>293</v>
      </c>
      <c r="I40" s="101">
        <v>46058.0</v>
      </c>
      <c r="J40" s="98" t="s">
        <v>439</v>
      </c>
      <c r="K40" s="102"/>
      <c r="L40" s="1"/>
      <c r="M40" s="1"/>
      <c r="N40" s="1"/>
      <c r="O40" s="1"/>
      <c r="P40" s="1"/>
      <c r="Q40" s="1"/>
      <c r="R40" s="1"/>
      <c r="S40" s="1"/>
      <c r="T40" s="1"/>
    </row>
    <row r="41" ht="15.75" customHeight="1">
      <c r="A41" s="97">
        <v>40.0</v>
      </c>
      <c r="B41" s="98" t="s">
        <v>102</v>
      </c>
      <c r="C41" s="99"/>
      <c r="D41" s="107" t="s">
        <v>15</v>
      </c>
      <c r="E41" s="21">
        <v>54990.0</v>
      </c>
      <c r="F41" s="105">
        <v>46081.62</v>
      </c>
      <c r="G41" s="100"/>
      <c r="H41" s="98" t="s">
        <v>299</v>
      </c>
      <c r="I41" s="101">
        <v>46058.0</v>
      </c>
      <c r="J41" s="98" t="s">
        <v>444</v>
      </c>
      <c r="K41" s="102"/>
      <c r="L41" s="1"/>
      <c r="M41" s="1"/>
      <c r="N41" s="1"/>
      <c r="O41" s="1"/>
      <c r="P41" s="1"/>
      <c r="Q41" s="1"/>
      <c r="R41" s="1"/>
      <c r="S41" s="1"/>
      <c r="T41" s="1"/>
    </row>
    <row r="42" ht="15.75" customHeight="1">
      <c r="A42" s="97">
        <v>41.0</v>
      </c>
      <c r="B42" s="98" t="s">
        <v>84</v>
      </c>
      <c r="C42" s="99"/>
      <c r="D42" s="107" t="s">
        <v>15</v>
      </c>
      <c r="E42" s="21">
        <v>54990.0</v>
      </c>
      <c r="F42" s="105">
        <v>53065.35</v>
      </c>
      <c r="G42" s="100"/>
      <c r="H42" s="98" t="s">
        <v>293</v>
      </c>
      <c r="I42" s="101">
        <v>46058.0</v>
      </c>
      <c r="J42" s="98" t="s">
        <v>444</v>
      </c>
      <c r="K42" s="102" t="s">
        <v>448</v>
      </c>
      <c r="L42" s="1"/>
      <c r="M42" s="1"/>
      <c r="N42" s="1"/>
      <c r="O42" s="1"/>
      <c r="P42" s="1"/>
      <c r="Q42" s="1"/>
      <c r="R42" s="1"/>
      <c r="S42" s="1"/>
      <c r="T42" s="1"/>
    </row>
    <row r="43" ht="15.75" customHeight="1">
      <c r="A43" s="97">
        <v>42.0</v>
      </c>
      <c r="B43" s="98" t="s">
        <v>383</v>
      </c>
      <c r="C43" s="99"/>
      <c r="D43" s="107" t="s">
        <v>37</v>
      </c>
      <c r="E43" s="21">
        <v>34990.0</v>
      </c>
      <c r="F43" s="105">
        <v>33765.0</v>
      </c>
      <c r="G43" s="100"/>
      <c r="H43" s="98" t="s">
        <v>293</v>
      </c>
      <c r="I43" s="101">
        <v>46059.0</v>
      </c>
      <c r="J43" s="98" t="s">
        <v>439</v>
      </c>
      <c r="K43" s="102"/>
      <c r="L43" s="1"/>
      <c r="M43" s="1"/>
      <c r="N43" s="1"/>
      <c r="O43" s="1"/>
      <c r="P43" s="1"/>
      <c r="Q43" s="1"/>
      <c r="R43" s="1"/>
      <c r="S43" s="1"/>
      <c r="T43" s="1"/>
    </row>
    <row r="44" ht="15.75" customHeight="1">
      <c r="A44" s="97">
        <v>43.0</v>
      </c>
      <c r="B44" s="98" t="s">
        <v>449</v>
      </c>
      <c r="C44" s="99"/>
      <c r="D44" s="107" t="s">
        <v>37</v>
      </c>
      <c r="E44" s="21">
        <v>34990.0</v>
      </c>
      <c r="F44" s="105">
        <v>30388.82</v>
      </c>
      <c r="G44" s="100"/>
      <c r="H44" s="98" t="s">
        <v>299</v>
      </c>
      <c r="I44" s="101">
        <v>46059.0</v>
      </c>
      <c r="J44" s="98" t="s">
        <v>439</v>
      </c>
      <c r="K44" s="102"/>
      <c r="L44" s="1"/>
      <c r="M44" s="1"/>
      <c r="N44" s="1"/>
      <c r="O44" s="1"/>
      <c r="P44" s="1"/>
      <c r="Q44" s="1"/>
      <c r="R44" s="1"/>
      <c r="S44" s="1"/>
      <c r="T44" s="1"/>
    </row>
    <row r="45" ht="15.75" customHeight="1">
      <c r="A45" s="97">
        <v>44.0</v>
      </c>
      <c r="B45" s="98" t="s">
        <v>290</v>
      </c>
      <c r="C45" s="99"/>
      <c r="D45" s="107" t="s">
        <v>450</v>
      </c>
      <c r="E45" s="21">
        <v>54990.0</v>
      </c>
      <c r="F45" s="105">
        <v>53065.35</v>
      </c>
      <c r="G45" s="100"/>
      <c r="H45" s="98" t="s">
        <v>293</v>
      </c>
      <c r="I45" s="101">
        <v>46059.0</v>
      </c>
      <c r="J45" s="98" t="s">
        <v>444</v>
      </c>
      <c r="K45" s="102"/>
      <c r="L45" s="1"/>
      <c r="M45" s="1"/>
      <c r="N45" s="1"/>
      <c r="O45" s="1"/>
      <c r="P45" s="1"/>
      <c r="Q45" s="1"/>
      <c r="R45" s="1"/>
      <c r="S45" s="1"/>
      <c r="T45" s="1"/>
    </row>
    <row r="46" ht="15.75" customHeight="1">
      <c r="A46" s="97">
        <v>45.0</v>
      </c>
      <c r="B46" s="98" t="s">
        <v>71</v>
      </c>
      <c r="C46" s="99"/>
      <c r="D46" s="107" t="s">
        <v>450</v>
      </c>
      <c r="E46" s="21">
        <v>13750.0</v>
      </c>
      <c r="F46" s="105" t="s">
        <v>451</v>
      </c>
      <c r="G46" s="100">
        <v>41250.0</v>
      </c>
      <c r="H46" s="98" t="s">
        <v>299</v>
      </c>
      <c r="I46" s="101">
        <v>46059.0</v>
      </c>
      <c r="J46" s="98" t="s">
        <v>444</v>
      </c>
      <c r="K46" s="102" t="s">
        <v>452</v>
      </c>
      <c r="L46" s="1"/>
      <c r="M46" s="1"/>
      <c r="N46" s="1"/>
      <c r="O46" s="1"/>
      <c r="P46" s="1"/>
      <c r="Q46" s="1"/>
      <c r="R46" s="1"/>
      <c r="S46" s="1"/>
      <c r="T46" s="1"/>
    </row>
    <row r="47" ht="15.75" customHeight="1">
      <c r="A47" s="97">
        <v>46.0</v>
      </c>
      <c r="B47" s="98" t="s">
        <v>19</v>
      </c>
      <c r="C47" s="99"/>
      <c r="D47" s="107" t="s">
        <v>335</v>
      </c>
      <c r="E47" s="21">
        <v>109990.0</v>
      </c>
      <c r="F47" s="105">
        <v>106140.0</v>
      </c>
      <c r="G47" s="100"/>
      <c r="H47" s="98" t="s">
        <v>293</v>
      </c>
      <c r="I47" s="101">
        <v>46059.0</v>
      </c>
      <c r="J47" s="98" t="s">
        <v>439</v>
      </c>
      <c r="K47" s="102"/>
      <c r="L47" s="1"/>
      <c r="M47" s="1"/>
      <c r="N47" s="1"/>
      <c r="O47" s="1"/>
      <c r="P47" s="1"/>
      <c r="Q47" s="1"/>
      <c r="R47" s="1"/>
      <c r="S47" s="1"/>
      <c r="T47" s="1"/>
    </row>
    <row r="48" ht="15.75" customHeight="1">
      <c r="A48" s="97">
        <v>47.0</v>
      </c>
      <c r="B48" s="98" t="s">
        <v>65</v>
      </c>
      <c r="C48" s="99"/>
      <c r="D48" s="107" t="s">
        <v>37</v>
      </c>
      <c r="E48" s="21">
        <v>34990.0</v>
      </c>
      <c r="F48" s="105">
        <v>33765.0</v>
      </c>
      <c r="G48" s="100"/>
      <c r="H48" s="98" t="s">
        <v>293</v>
      </c>
      <c r="I48" s="101">
        <v>46059.0</v>
      </c>
      <c r="J48" s="98" t="s">
        <v>439</v>
      </c>
      <c r="K48" s="102"/>
      <c r="L48" s="1"/>
      <c r="M48" s="1"/>
      <c r="N48" s="1"/>
      <c r="O48" s="1"/>
      <c r="P48" s="1"/>
      <c r="Q48" s="1"/>
      <c r="R48" s="1"/>
      <c r="S48" s="1"/>
      <c r="T48" s="1"/>
    </row>
    <row r="49" ht="15.75" customHeight="1">
      <c r="A49" s="97">
        <v>48.0</v>
      </c>
      <c r="B49" s="98" t="s">
        <v>12</v>
      </c>
      <c r="C49" s="99"/>
      <c r="D49" s="107" t="s">
        <v>37</v>
      </c>
      <c r="E49" s="21">
        <v>34990.0</v>
      </c>
      <c r="F49" s="105">
        <v>28691.0</v>
      </c>
      <c r="G49" s="100"/>
      <c r="H49" s="98" t="s">
        <v>299</v>
      </c>
      <c r="I49" s="101">
        <v>46059.0</v>
      </c>
      <c r="J49" s="98" t="s">
        <v>439</v>
      </c>
      <c r="K49" s="102"/>
      <c r="L49" s="1"/>
      <c r="M49" s="1"/>
      <c r="N49" s="1"/>
      <c r="O49" s="1"/>
      <c r="P49" s="1"/>
      <c r="Q49" s="1"/>
      <c r="R49" s="1"/>
      <c r="S49" s="1"/>
      <c r="T49" s="1"/>
    </row>
    <row r="50" ht="15.75" customHeight="1">
      <c r="A50" s="97">
        <v>49.0</v>
      </c>
      <c r="B50" s="98" t="s">
        <v>453</v>
      </c>
      <c r="C50" s="99"/>
      <c r="D50" s="107" t="s">
        <v>37</v>
      </c>
      <c r="E50" s="21">
        <v>34990.0</v>
      </c>
      <c r="F50" s="105">
        <v>31491.0</v>
      </c>
      <c r="G50" s="100"/>
      <c r="H50" s="98" t="s">
        <v>293</v>
      </c>
      <c r="I50" s="101">
        <v>46059.0</v>
      </c>
      <c r="J50" s="98" t="s">
        <v>439</v>
      </c>
      <c r="K50" s="102"/>
      <c r="L50" s="1"/>
      <c r="M50" s="1"/>
      <c r="N50" s="1"/>
      <c r="O50" s="1"/>
      <c r="P50" s="1"/>
      <c r="Q50" s="1"/>
      <c r="R50" s="1"/>
      <c r="S50" s="1"/>
      <c r="T50" s="1"/>
    </row>
    <row r="51" ht="15.75" customHeight="1">
      <c r="A51" s="97">
        <v>50.0</v>
      </c>
      <c r="B51" s="98" t="s">
        <v>81</v>
      </c>
      <c r="C51" s="99"/>
      <c r="D51" s="107" t="s">
        <v>15</v>
      </c>
      <c r="E51" s="21">
        <v>54990.0</v>
      </c>
      <c r="F51" s="105">
        <v>53065.0</v>
      </c>
      <c r="G51" s="100"/>
      <c r="H51" s="98" t="s">
        <v>293</v>
      </c>
      <c r="I51" s="101">
        <v>46059.0</v>
      </c>
      <c r="J51" s="98" t="s">
        <v>439</v>
      </c>
      <c r="K51" s="102"/>
      <c r="L51" s="1"/>
      <c r="M51" s="1"/>
      <c r="N51" s="1"/>
      <c r="O51" s="1"/>
      <c r="P51" s="1"/>
      <c r="Q51" s="1"/>
      <c r="R51" s="1"/>
      <c r="S51" s="1"/>
      <c r="T51" s="1"/>
    </row>
    <row r="52" ht="15.75" customHeight="1">
      <c r="A52" s="97">
        <v>51.0</v>
      </c>
      <c r="B52" s="98" t="s">
        <v>43</v>
      </c>
      <c r="C52" s="99"/>
      <c r="D52" s="107" t="s">
        <v>15</v>
      </c>
      <c r="E52" s="21">
        <v>44990.0</v>
      </c>
      <c r="F52" s="105">
        <v>36666.8</v>
      </c>
      <c r="G52" s="109"/>
      <c r="H52" s="98" t="s">
        <v>299</v>
      </c>
      <c r="I52" s="101">
        <v>46059.0</v>
      </c>
      <c r="J52" s="98" t="s">
        <v>437</v>
      </c>
      <c r="K52" s="102"/>
      <c r="L52" s="1"/>
      <c r="M52" s="1"/>
      <c r="N52" s="1"/>
      <c r="O52" s="1"/>
      <c r="P52" s="1"/>
      <c r="Q52" s="1"/>
      <c r="R52" s="1"/>
      <c r="S52" s="1"/>
      <c r="T52" s="1"/>
    </row>
    <row r="53" ht="15.75" customHeight="1">
      <c r="A53" s="97">
        <v>52.0</v>
      </c>
      <c r="B53" s="98" t="s">
        <v>454</v>
      </c>
      <c r="C53" s="99"/>
      <c r="D53" s="108" t="s">
        <v>335</v>
      </c>
      <c r="E53" s="21">
        <v>79900.0</v>
      </c>
      <c r="F53" s="105">
        <v>63992.0</v>
      </c>
      <c r="G53" s="100"/>
      <c r="H53" s="98" t="s">
        <v>299</v>
      </c>
      <c r="I53" s="101">
        <v>46059.0</v>
      </c>
      <c r="J53" s="98" t="s">
        <v>439</v>
      </c>
      <c r="K53" s="102"/>
      <c r="L53" s="1"/>
      <c r="M53" s="1"/>
      <c r="N53" s="1"/>
      <c r="O53" s="1"/>
      <c r="P53" s="1"/>
      <c r="Q53" s="1"/>
      <c r="R53" s="1"/>
      <c r="S53" s="1"/>
      <c r="T53" s="1"/>
    </row>
    <row r="54" ht="15.75" customHeight="1">
      <c r="A54" s="97">
        <v>53.0</v>
      </c>
      <c r="B54" s="98" t="s">
        <v>303</v>
      </c>
      <c r="C54" s="99"/>
      <c r="D54" s="108" t="s">
        <v>37</v>
      </c>
      <c r="E54" s="21">
        <v>34990.0</v>
      </c>
      <c r="F54" s="105">
        <v>32015.0</v>
      </c>
      <c r="G54" s="100"/>
      <c r="H54" s="98" t="s">
        <v>299</v>
      </c>
      <c r="I54" s="101">
        <v>46059.0</v>
      </c>
      <c r="J54" s="98" t="s">
        <v>444</v>
      </c>
      <c r="K54" s="102"/>
      <c r="L54" s="1"/>
      <c r="M54" s="1"/>
      <c r="N54" s="1"/>
      <c r="O54" s="1"/>
      <c r="P54" s="1"/>
      <c r="Q54" s="1"/>
      <c r="R54" s="1"/>
      <c r="S54" s="1"/>
      <c r="T54" s="1"/>
    </row>
    <row r="55" ht="15.75" customHeight="1">
      <c r="A55" s="97">
        <v>54.0</v>
      </c>
      <c r="B55" s="98" t="s">
        <v>137</v>
      </c>
      <c r="C55" s="99"/>
      <c r="D55" s="108" t="s">
        <v>15</v>
      </c>
      <c r="E55" s="21">
        <v>54990.0</v>
      </c>
      <c r="F55" s="105">
        <v>44816.0</v>
      </c>
      <c r="G55" s="100"/>
      <c r="H55" s="98" t="s">
        <v>299</v>
      </c>
      <c r="I55" s="101">
        <v>46059.0</v>
      </c>
      <c r="J55" s="98" t="s">
        <v>444</v>
      </c>
      <c r="K55" s="102"/>
      <c r="L55" s="1"/>
      <c r="M55" s="1"/>
      <c r="N55" s="1"/>
      <c r="O55" s="1"/>
      <c r="P55" s="1"/>
      <c r="Q55" s="1"/>
      <c r="R55" s="1"/>
      <c r="S55" s="1"/>
      <c r="T55" s="1"/>
    </row>
    <row r="56" ht="15.75" customHeight="1">
      <c r="A56" s="97">
        <v>55.0</v>
      </c>
      <c r="B56" s="98" t="s">
        <v>90</v>
      </c>
      <c r="C56" s="99"/>
      <c r="D56" s="107" t="s">
        <v>15</v>
      </c>
      <c r="E56" s="21">
        <v>54990.0</v>
      </c>
      <c r="F56" s="105">
        <v>43992.0</v>
      </c>
      <c r="G56" s="100"/>
      <c r="H56" s="98" t="s">
        <v>299</v>
      </c>
      <c r="I56" s="101">
        <v>46059.0</v>
      </c>
      <c r="J56" s="98" t="s">
        <v>444</v>
      </c>
      <c r="K56" s="102"/>
      <c r="L56" s="1"/>
      <c r="M56" s="1"/>
      <c r="N56" s="1"/>
      <c r="O56" s="1"/>
      <c r="P56" s="1"/>
      <c r="Q56" s="1"/>
      <c r="R56" s="1"/>
      <c r="S56" s="1"/>
      <c r="T56" s="1"/>
    </row>
    <row r="57" ht="15.75" customHeight="1">
      <c r="A57" s="97">
        <v>56.0</v>
      </c>
      <c r="B57" s="98" t="s">
        <v>373</v>
      </c>
      <c r="C57" s="99"/>
      <c r="D57" s="108" t="s">
        <v>335</v>
      </c>
      <c r="E57" s="21">
        <v>79990.0</v>
      </c>
      <c r="F57" s="105">
        <v>63992.0</v>
      </c>
      <c r="G57" s="100"/>
      <c r="H57" s="98" t="s">
        <v>299</v>
      </c>
      <c r="I57" s="101">
        <v>46059.0</v>
      </c>
      <c r="J57" s="98" t="s">
        <v>444</v>
      </c>
      <c r="K57" s="102"/>
      <c r="L57" s="1"/>
      <c r="M57" s="1"/>
      <c r="N57" s="1"/>
      <c r="O57" s="1"/>
      <c r="P57" s="1"/>
      <c r="Q57" s="1"/>
      <c r="R57" s="1"/>
      <c r="S57" s="1"/>
      <c r="T57" s="1"/>
    </row>
    <row r="58" ht="15.75" customHeight="1">
      <c r="A58" s="97">
        <v>57.0</v>
      </c>
      <c r="B58" s="98" t="s">
        <v>214</v>
      </c>
      <c r="C58" s="99"/>
      <c r="D58" s="108" t="s">
        <v>15</v>
      </c>
      <c r="E58" s="21">
        <v>54990.0</v>
      </c>
      <c r="F58" s="105">
        <v>44816.0</v>
      </c>
      <c r="G58" s="100"/>
      <c r="H58" s="98" t="s">
        <v>299</v>
      </c>
      <c r="I58" s="101">
        <v>46060.0</v>
      </c>
      <c r="J58" s="98" t="s">
        <v>439</v>
      </c>
      <c r="K58" s="102"/>
      <c r="L58" s="1"/>
      <c r="M58" s="1"/>
      <c r="N58" s="1"/>
      <c r="O58" s="1"/>
      <c r="P58" s="1"/>
      <c r="Q58" s="1"/>
      <c r="R58" s="1"/>
      <c r="S58" s="1"/>
      <c r="T58" s="1"/>
    </row>
    <row r="59" ht="15.75" customHeight="1">
      <c r="A59" s="97">
        <v>58.0</v>
      </c>
      <c r="B59" s="98" t="s">
        <v>68</v>
      </c>
      <c r="C59" s="99"/>
      <c r="D59" s="108" t="s">
        <v>15</v>
      </c>
      <c r="E59" s="21">
        <v>54990.0</v>
      </c>
      <c r="F59" s="105">
        <v>53065.0</v>
      </c>
      <c r="G59" s="100"/>
      <c r="H59" s="98" t="s">
        <v>293</v>
      </c>
      <c r="I59" s="101">
        <v>46060.0</v>
      </c>
      <c r="J59" s="98" t="s">
        <v>439</v>
      </c>
      <c r="K59" s="102"/>
      <c r="L59" s="1"/>
      <c r="M59" s="1"/>
      <c r="N59" s="1"/>
      <c r="O59" s="1"/>
      <c r="P59" s="1"/>
      <c r="Q59" s="1"/>
      <c r="R59" s="1"/>
      <c r="S59" s="1"/>
      <c r="T59" s="1"/>
    </row>
    <row r="60" ht="15.75" customHeight="1">
      <c r="A60" s="97">
        <v>59.0</v>
      </c>
      <c r="B60" s="98" t="s">
        <v>84</v>
      </c>
      <c r="C60" s="99"/>
      <c r="D60" s="108" t="s">
        <v>37</v>
      </c>
      <c r="E60" s="21">
        <v>34990.0</v>
      </c>
      <c r="F60" s="105">
        <v>33765.0</v>
      </c>
      <c r="G60" s="100"/>
      <c r="H60" s="98" t="s">
        <v>293</v>
      </c>
      <c r="I60" s="101">
        <v>46060.0</v>
      </c>
      <c r="J60" s="98" t="s">
        <v>439</v>
      </c>
      <c r="K60" s="102"/>
      <c r="L60" s="1"/>
      <c r="M60" s="1"/>
      <c r="N60" s="1"/>
      <c r="O60" s="1"/>
      <c r="P60" s="1"/>
      <c r="Q60" s="1"/>
      <c r="R60" s="1"/>
      <c r="S60" s="1"/>
      <c r="T60" s="1"/>
    </row>
    <row r="61" ht="15.75" customHeight="1">
      <c r="A61" s="97">
        <v>60.0</v>
      </c>
      <c r="B61" s="98" t="s">
        <v>442</v>
      </c>
      <c r="C61" s="99"/>
      <c r="D61" s="108" t="s">
        <v>37</v>
      </c>
      <c r="E61" s="21">
        <v>34990.0</v>
      </c>
      <c r="F61" s="105">
        <v>28691.0</v>
      </c>
      <c r="G61" s="100"/>
      <c r="H61" s="98" t="s">
        <v>299</v>
      </c>
      <c r="I61" s="101">
        <v>46060.0</v>
      </c>
      <c r="J61" s="98" t="s">
        <v>439</v>
      </c>
      <c r="K61" s="102"/>
      <c r="L61" s="1"/>
      <c r="M61" s="1"/>
      <c r="N61" s="1"/>
      <c r="O61" s="1"/>
      <c r="P61" s="1"/>
      <c r="Q61" s="1"/>
      <c r="R61" s="1"/>
      <c r="S61" s="1"/>
      <c r="T61" s="1"/>
    </row>
    <row r="62" ht="15.75" customHeight="1">
      <c r="A62" s="97">
        <v>61.0</v>
      </c>
      <c r="B62" s="98" t="s">
        <v>29</v>
      </c>
      <c r="C62" s="99"/>
      <c r="D62" s="108" t="s">
        <v>37</v>
      </c>
      <c r="E62" s="21">
        <v>11700.0</v>
      </c>
      <c r="F62" s="105">
        <v>11290.5</v>
      </c>
      <c r="G62" s="100">
        <v>23400.0</v>
      </c>
      <c r="H62" s="98" t="s">
        <v>455</v>
      </c>
      <c r="I62" s="110">
        <v>46060.0</v>
      </c>
      <c r="J62" s="98" t="s">
        <v>444</v>
      </c>
      <c r="K62" s="102" t="s">
        <v>456</v>
      </c>
      <c r="L62" s="1"/>
      <c r="M62" s="1"/>
      <c r="N62" s="1"/>
      <c r="O62" s="1"/>
      <c r="P62" s="1"/>
      <c r="Q62" s="1"/>
      <c r="R62" s="1"/>
      <c r="S62" s="1"/>
      <c r="T62" s="1"/>
    </row>
    <row r="63" ht="15.75" customHeight="1">
      <c r="A63" s="97">
        <v>62.0</v>
      </c>
      <c r="B63" s="98" t="s">
        <v>145</v>
      </c>
      <c r="C63" s="99"/>
      <c r="D63" s="108" t="s">
        <v>37</v>
      </c>
      <c r="E63" s="21">
        <v>34990.0</v>
      </c>
      <c r="F63" s="105">
        <v>33765.0</v>
      </c>
      <c r="G63" s="100"/>
      <c r="H63" s="98" t="s">
        <v>293</v>
      </c>
      <c r="I63" s="101">
        <v>46061.0</v>
      </c>
      <c r="J63" s="98" t="s">
        <v>444</v>
      </c>
      <c r="K63" s="102" t="s">
        <v>457</v>
      </c>
      <c r="L63" s="1"/>
      <c r="M63" s="1"/>
      <c r="N63" s="1"/>
      <c r="O63" s="1"/>
      <c r="P63" s="1"/>
      <c r="Q63" s="1"/>
      <c r="R63" s="1"/>
      <c r="S63" s="1"/>
      <c r="T63" s="1"/>
    </row>
    <row r="64" ht="15.75" customHeight="1">
      <c r="A64" s="97">
        <v>63.0</v>
      </c>
      <c r="B64" s="98" t="s">
        <v>200</v>
      </c>
      <c r="C64" s="99"/>
      <c r="D64" s="108" t="s">
        <v>15</v>
      </c>
      <c r="E64" s="21">
        <v>54990.0</v>
      </c>
      <c r="F64" s="105">
        <v>43992.0</v>
      </c>
      <c r="G64" s="100"/>
      <c r="H64" s="98" t="s">
        <v>455</v>
      </c>
      <c r="I64" s="101">
        <v>46062.0</v>
      </c>
      <c r="J64" s="98" t="s">
        <v>439</v>
      </c>
      <c r="K64" s="102"/>
      <c r="L64" s="1"/>
      <c r="M64" s="1"/>
      <c r="N64" s="1"/>
      <c r="O64" s="1"/>
      <c r="P64" s="1"/>
      <c r="Q64" s="1"/>
      <c r="R64" s="1"/>
      <c r="S64" s="1"/>
      <c r="T64" s="1"/>
    </row>
    <row r="65" ht="15.75" customHeight="1">
      <c r="A65" s="97">
        <v>64.0</v>
      </c>
      <c r="B65" s="98" t="s">
        <v>327</v>
      </c>
      <c r="C65" s="99"/>
      <c r="D65" s="108" t="s">
        <v>15</v>
      </c>
      <c r="E65" s="21">
        <v>54990.0</v>
      </c>
      <c r="F65" s="105">
        <v>45091.0</v>
      </c>
      <c r="G65" s="100"/>
      <c r="H65" s="98" t="s">
        <v>299</v>
      </c>
      <c r="I65" s="101">
        <v>46062.0</v>
      </c>
      <c r="J65" s="98" t="s">
        <v>444</v>
      </c>
      <c r="K65" s="102" t="s">
        <v>458</v>
      </c>
      <c r="L65" s="1"/>
      <c r="M65" s="1"/>
      <c r="N65" s="1"/>
      <c r="O65" s="1"/>
      <c r="P65" s="1"/>
      <c r="Q65" s="1"/>
      <c r="R65" s="1"/>
      <c r="S65" s="1"/>
      <c r="T65" s="1"/>
    </row>
    <row r="66" ht="15.75" customHeight="1">
      <c r="A66" s="97">
        <v>65.0</v>
      </c>
      <c r="B66" s="98" t="s">
        <v>442</v>
      </c>
      <c r="C66" s="99"/>
      <c r="D66" s="108" t="s">
        <v>15</v>
      </c>
      <c r="E66" s="21">
        <v>54990.0</v>
      </c>
      <c r="F66" s="105">
        <v>45806.0</v>
      </c>
      <c r="G66" s="100"/>
      <c r="H66" s="98" t="s">
        <v>299</v>
      </c>
      <c r="I66" s="101">
        <v>46062.0</v>
      </c>
      <c r="J66" s="98" t="s">
        <v>439</v>
      </c>
      <c r="K66" s="102"/>
      <c r="L66" s="1"/>
      <c r="M66" s="1"/>
      <c r="N66" s="1"/>
      <c r="O66" s="1"/>
      <c r="P66" s="1"/>
      <c r="Q66" s="1"/>
      <c r="R66" s="1"/>
      <c r="S66" s="1"/>
      <c r="T66" s="1"/>
    </row>
    <row r="67" ht="15.75" customHeight="1">
      <c r="A67" s="97">
        <v>66.0</v>
      </c>
      <c r="B67" s="98" t="s">
        <v>19</v>
      </c>
      <c r="C67" s="99"/>
      <c r="D67" s="108" t="s">
        <v>15</v>
      </c>
      <c r="E67" s="21">
        <v>54990.0</v>
      </c>
      <c r="F67" s="105">
        <v>44816.0</v>
      </c>
      <c r="G67" s="100"/>
      <c r="H67" s="98" t="s">
        <v>299</v>
      </c>
      <c r="I67" s="101">
        <v>46062.0</v>
      </c>
      <c r="J67" s="98" t="s">
        <v>444</v>
      </c>
      <c r="K67" s="102"/>
      <c r="L67" s="1"/>
      <c r="M67" s="1"/>
      <c r="N67" s="1"/>
      <c r="O67" s="1"/>
      <c r="P67" s="1"/>
      <c r="Q67" s="1"/>
      <c r="R67" s="1"/>
      <c r="S67" s="1"/>
      <c r="T67" s="1"/>
    </row>
    <row r="68" ht="15.75" customHeight="1">
      <c r="A68" s="97">
        <v>67.0</v>
      </c>
      <c r="B68" s="98" t="s">
        <v>327</v>
      </c>
      <c r="C68" s="99"/>
      <c r="D68" s="108" t="s">
        <v>15</v>
      </c>
      <c r="E68" s="21">
        <v>54990.0</v>
      </c>
      <c r="F68" s="105">
        <v>53065.0</v>
      </c>
      <c r="G68" s="100"/>
      <c r="H68" s="98" t="s">
        <v>299</v>
      </c>
      <c r="I68" s="101">
        <v>46062.0</v>
      </c>
      <c r="J68" s="98" t="s">
        <v>444</v>
      </c>
      <c r="K68" s="102"/>
      <c r="L68" s="1"/>
      <c r="M68" s="1"/>
      <c r="N68" s="1"/>
      <c r="O68" s="1"/>
      <c r="P68" s="1"/>
      <c r="Q68" s="1"/>
      <c r="R68" s="1"/>
      <c r="S68" s="1"/>
      <c r="T68" s="1"/>
    </row>
    <row r="69" ht="15.75" customHeight="1">
      <c r="A69" s="97">
        <v>68.0</v>
      </c>
      <c r="B69" s="98" t="s">
        <v>29</v>
      </c>
      <c r="C69" s="99"/>
      <c r="D69" s="108" t="s">
        <v>15</v>
      </c>
      <c r="E69" s="21">
        <v>54990.0</v>
      </c>
      <c r="F69" s="105">
        <v>43992.0</v>
      </c>
      <c r="G69" s="100"/>
      <c r="H69" s="98" t="s">
        <v>299</v>
      </c>
      <c r="I69" s="101">
        <v>46062.0</v>
      </c>
      <c r="J69" s="98" t="s">
        <v>444</v>
      </c>
      <c r="K69" s="102"/>
      <c r="L69" s="1"/>
      <c r="M69" s="1"/>
      <c r="N69" s="1"/>
      <c r="O69" s="1"/>
      <c r="P69" s="1"/>
      <c r="Q69" s="1"/>
      <c r="R69" s="1"/>
      <c r="S69" s="1"/>
      <c r="T69" s="1"/>
    </row>
    <row r="70" ht="15.75" customHeight="1">
      <c r="A70" s="97">
        <v>69.0</v>
      </c>
      <c r="B70" s="98" t="s">
        <v>29</v>
      </c>
      <c r="C70" s="99"/>
      <c r="D70" s="108" t="s">
        <v>15</v>
      </c>
      <c r="E70" s="21">
        <v>54990.0</v>
      </c>
      <c r="F70" s="105">
        <v>43992.0</v>
      </c>
      <c r="G70" s="100"/>
      <c r="H70" s="98" t="s">
        <v>299</v>
      </c>
      <c r="I70" s="101">
        <v>46062.0</v>
      </c>
      <c r="J70" s="98" t="s">
        <v>444</v>
      </c>
      <c r="K70" s="102"/>
      <c r="L70" s="1"/>
      <c r="M70" s="1"/>
      <c r="N70" s="1"/>
      <c r="O70" s="1"/>
      <c r="P70" s="1"/>
      <c r="Q70" s="1"/>
      <c r="R70" s="1"/>
      <c r="S70" s="1"/>
      <c r="T70" s="1"/>
    </row>
    <row r="71" ht="15.75" customHeight="1">
      <c r="A71" s="97">
        <v>70.0</v>
      </c>
      <c r="B71" s="98" t="s">
        <v>98</v>
      </c>
      <c r="C71" s="99"/>
      <c r="D71" s="108" t="s">
        <v>15</v>
      </c>
      <c r="E71" s="21">
        <v>54990.0</v>
      </c>
      <c r="F71" s="105">
        <v>53065.0</v>
      </c>
      <c r="G71" s="100"/>
      <c r="H71" s="98" t="s">
        <v>459</v>
      </c>
      <c r="I71" s="101">
        <v>46062.0</v>
      </c>
      <c r="J71" s="98" t="s">
        <v>444</v>
      </c>
      <c r="K71" s="102"/>
      <c r="L71" s="1"/>
      <c r="M71" s="1"/>
      <c r="N71" s="1"/>
      <c r="O71" s="1"/>
      <c r="P71" s="1"/>
      <c r="Q71" s="1"/>
      <c r="R71" s="1"/>
      <c r="S71" s="1"/>
      <c r="T71" s="1"/>
    </row>
    <row r="72" ht="15.75" customHeight="1">
      <c r="A72" s="97">
        <v>71.0</v>
      </c>
      <c r="B72" s="98" t="s">
        <v>460</v>
      </c>
      <c r="C72" s="99"/>
      <c r="D72" s="108" t="s">
        <v>15</v>
      </c>
      <c r="E72" s="21">
        <v>44990.0</v>
      </c>
      <c r="F72" s="105">
        <v>35992.0</v>
      </c>
      <c r="G72" s="100"/>
      <c r="H72" s="98" t="s">
        <v>459</v>
      </c>
      <c r="I72" s="101">
        <v>46062.0</v>
      </c>
      <c r="J72" s="111" t="s">
        <v>437</v>
      </c>
      <c r="K72" s="102" t="s">
        <v>461</v>
      </c>
      <c r="L72" s="1"/>
      <c r="M72" s="1"/>
      <c r="N72" s="1"/>
      <c r="O72" s="1"/>
      <c r="P72" s="1"/>
      <c r="Q72" s="1"/>
      <c r="R72" s="1"/>
      <c r="S72" s="1"/>
      <c r="T72" s="1"/>
    </row>
    <row r="73" ht="15.75" customHeight="1">
      <c r="A73" s="97">
        <v>72.0</v>
      </c>
      <c r="B73" s="98" t="s">
        <v>462</v>
      </c>
      <c r="C73" s="99"/>
      <c r="D73" s="108" t="s">
        <v>37</v>
      </c>
      <c r="E73" s="21">
        <v>34990.0</v>
      </c>
      <c r="F73" s="105">
        <v>29846.0</v>
      </c>
      <c r="G73" s="100"/>
      <c r="H73" s="98" t="s">
        <v>459</v>
      </c>
      <c r="I73" s="101">
        <v>46063.0</v>
      </c>
      <c r="J73" s="98" t="s">
        <v>439</v>
      </c>
      <c r="K73" s="102"/>
      <c r="L73" s="1"/>
      <c r="M73" s="1"/>
      <c r="N73" s="1"/>
      <c r="O73" s="1"/>
      <c r="P73" s="1"/>
      <c r="Q73" s="1"/>
      <c r="R73" s="1"/>
      <c r="S73" s="1"/>
      <c r="T73" s="1"/>
    </row>
    <row r="74" ht="15.75" customHeight="1">
      <c r="A74" s="97">
        <v>73.0</v>
      </c>
      <c r="B74" s="98" t="s">
        <v>29</v>
      </c>
      <c r="C74" s="99"/>
      <c r="D74" s="108" t="s">
        <v>15</v>
      </c>
      <c r="E74" s="21">
        <v>54990.0</v>
      </c>
      <c r="F74" s="105">
        <v>53065.0</v>
      </c>
      <c r="G74" s="100"/>
      <c r="H74" s="98" t="s">
        <v>299</v>
      </c>
      <c r="I74" s="101">
        <v>46063.0</v>
      </c>
      <c r="J74" s="98" t="s">
        <v>444</v>
      </c>
      <c r="K74" s="102"/>
      <c r="L74" s="1"/>
      <c r="M74" s="1"/>
      <c r="N74" s="1"/>
      <c r="O74" s="1"/>
      <c r="P74" s="1"/>
      <c r="Q74" s="1"/>
      <c r="R74" s="1"/>
      <c r="S74" s="1"/>
      <c r="T74" s="1"/>
    </row>
    <row r="75" ht="15.75" customHeight="1">
      <c r="A75" s="97">
        <v>74.0</v>
      </c>
      <c r="B75" s="98" t="s">
        <v>78</v>
      </c>
      <c r="C75" s="99"/>
      <c r="D75" s="108" t="s">
        <v>37</v>
      </c>
      <c r="E75" s="21">
        <v>34990.0</v>
      </c>
      <c r="F75" s="105">
        <v>32015.0</v>
      </c>
      <c r="G75" s="100"/>
      <c r="H75" s="98" t="s">
        <v>293</v>
      </c>
      <c r="I75" s="101">
        <v>46063.0</v>
      </c>
      <c r="J75" s="98" t="s">
        <v>439</v>
      </c>
      <c r="K75" s="102"/>
      <c r="L75" s="1"/>
      <c r="M75" s="1"/>
      <c r="N75" s="1"/>
      <c r="O75" s="1"/>
      <c r="P75" s="1"/>
      <c r="Q75" s="1"/>
      <c r="R75" s="1"/>
      <c r="S75" s="1"/>
      <c r="T75" s="1"/>
    </row>
    <row r="76" ht="15.75" customHeight="1">
      <c r="A76" s="97">
        <v>75.0</v>
      </c>
      <c r="B76" s="98" t="s">
        <v>227</v>
      </c>
      <c r="C76" s="99"/>
      <c r="D76" s="108" t="s">
        <v>37</v>
      </c>
      <c r="E76" s="21">
        <v>34990.0</v>
      </c>
      <c r="F76" s="105">
        <v>33765.0</v>
      </c>
      <c r="G76" s="100"/>
      <c r="H76" s="98" t="s">
        <v>293</v>
      </c>
      <c r="I76" s="101">
        <v>46063.0</v>
      </c>
      <c r="J76" s="98" t="s">
        <v>439</v>
      </c>
      <c r="K76" s="102"/>
      <c r="L76" s="1"/>
      <c r="M76" s="1"/>
      <c r="N76" s="1"/>
      <c r="O76" s="1"/>
      <c r="P76" s="1"/>
      <c r="Q76" s="1"/>
      <c r="R76" s="1"/>
      <c r="S76" s="1"/>
      <c r="T76" s="1"/>
    </row>
    <row r="77" ht="15.75" customHeight="1">
      <c r="A77" s="97">
        <v>76.0</v>
      </c>
      <c r="B77" s="98" t="s">
        <v>19</v>
      </c>
      <c r="C77" s="99"/>
      <c r="D77" s="108" t="s">
        <v>15</v>
      </c>
      <c r="E77" s="21">
        <v>54990.0</v>
      </c>
      <c r="F77" s="105">
        <v>43992.0</v>
      </c>
      <c r="G77" s="100"/>
      <c r="H77" s="98" t="s">
        <v>455</v>
      </c>
      <c r="I77" s="101">
        <v>46063.0</v>
      </c>
      <c r="J77" s="98" t="s">
        <v>444</v>
      </c>
      <c r="K77" s="102" t="s">
        <v>463</v>
      </c>
      <c r="L77" s="1"/>
      <c r="M77" s="1"/>
      <c r="N77" s="1"/>
      <c r="O77" s="1"/>
      <c r="P77" s="1"/>
      <c r="Q77" s="1"/>
      <c r="R77" s="1"/>
      <c r="S77" s="1"/>
      <c r="T77" s="1"/>
    </row>
    <row r="78" ht="15.75" customHeight="1">
      <c r="A78" s="97">
        <v>77.0</v>
      </c>
      <c r="B78" s="98" t="s">
        <v>84</v>
      </c>
      <c r="C78" s="99"/>
      <c r="D78" s="108" t="s">
        <v>15</v>
      </c>
      <c r="E78" s="21">
        <v>54990.0</v>
      </c>
      <c r="F78" s="105">
        <v>43992.0</v>
      </c>
      <c r="G78" s="100"/>
      <c r="H78" s="98" t="s">
        <v>459</v>
      </c>
      <c r="I78" s="101">
        <v>46063.0</v>
      </c>
      <c r="J78" s="98" t="s">
        <v>444</v>
      </c>
      <c r="K78" s="102"/>
      <c r="L78" s="1"/>
      <c r="M78" s="1"/>
      <c r="N78" s="1"/>
      <c r="O78" s="1"/>
      <c r="P78" s="1"/>
      <c r="Q78" s="1"/>
      <c r="R78" s="1"/>
      <c r="S78" s="1"/>
      <c r="T78" s="1"/>
    </row>
    <row r="79" ht="15.75" customHeight="1">
      <c r="A79" s="97">
        <v>78.0</v>
      </c>
      <c r="B79" s="98" t="s">
        <v>100</v>
      </c>
      <c r="C79" s="99"/>
      <c r="D79" s="108" t="s">
        <v>37</v>
      </c>
      <c r="E79" s="21">
        <v>34990.0</v>
      </c>
      <c r="F79" s="105">
        <v>33765.0</v>
      </c>
      <c r="G79" s="100"/>
      <c r="H79" s="98" t="s">
        <v>293</v>
      </c>
      <c r="I79" s="101">
        <v>46063.0</v>
      </c>
      <c r="J79" s="98" t="s">
        <v>439</v>
      </c>
      <c r="K79" s="102"/>
      <c r="L79" s="1"/>
      <c r="M79" s="1"/>
      <c r="N79" s="1"/>
      <c r="O79" s="1"/>
      <c r="P79" s="1"/>
      <c r="Q79" s="1"/>
      <c r="R79" s="1"/>
      <c r="S79" s="1"/>
      <c r="T79" s="1"/>
    </row>
    <row r="80" ht="15.75" customHeight="1">
      <c r="A80" s="97">
        <v>79.0</v>
      </c>
      <c r="B80" s="98" t="s">
        <v>29</v>
      </c>
      <c r="C80" s="99"/>
      <c r="D80" s="104" t="s">
        <v>15</v>
      </c>
      <c r="E80" s="21">
        <v>54990.0</v>
      </c>
      <c r="F80" s="105">
        <v>44816.0</v>
      </c>
      <c r="G80" s="100"/>
      <c r="H80" s="98" t="s">
        <v>299</v>
      </c>
      <c r="I80" s="101">
        <v>46063.0</v>
      </c>
      <c r="J80" s="98" t="s">
        <v>444</v>
      </c>
      <c r="K80" s="102"/>
      <c r="L80" s="1"/>
      <c r="M80" s="1"/>
      <c r="N80" s="1"/>
      <c r="O80" s="1"/>
      <c r="P80" s="1"/>
      <c r="Q80" s="1"/>
      <c r="R80" s="1"/>
      <c r="S80" s="1"/>
      <c r="T80" s="1"/>
    </row>
    <row r="81" ht="15.75" customHeight="1">
      <c r="A81" s="97">
        <v>80.0</v>
      </c>
      <c r="B81" s="98" t="s">
        <v>19</v>
      </c>
      <c r="C81" s="99"/>
      <c r="D81" s="104" t="s">
        <v>37</v>
      </c>
      <c r="E81" s="21">
        <v>31490.0</v>
      </c>
      <c r="F81" s="105">
        <v>30387.0</v>
      </c>
      <c r="G81" s="100"/>
      <c r="H81" s="98" t="s">
        <v>293</v>
      </c>
      <c r="I81" s="101">
        <v>46063.0</v>
      </c>
      <c r="J81" s="98" t="s">
        <v>444</v>
      </c>
      <c r="K81" s="112" t="s">
        <v>464</v>
      </c>
      <c r="L81" s="1"/>
      <c r="M81" s="1"/>
      <c r="N81" s="1"/>
      <c r="O81" s="1"/>
      <c r="P81" s="1"/>
      <c r="Q81" s="1"/>
      <c r="R81" s="1"/>
      <c r="S81" s="1"/>
      <c r="T81" s="1"/>
    </row>
    <row r="82" ht="15.75" customHeight="1">
      <c r="A82" s="97">
        <v>81.0</v>
      </c>
      <c r="B82" s="98" t="s">
        <v>200</v>
      </c>
      <c r="C82" s="99"/>
      <c r="D82" s="104" t="s">
        <v>15</v>
      </c>
      <c r="E82" s="21">
        <v>13750.0</v>
      </c>
      <c r="F82" s="105">
        <v>13286.0</v>
      </c>
      <c r="G82" s="100">
        <v>41250.0</v>
      </c>
      <c r="H82" s="98" t="s">
        <v>455</v>
      </c>
      <c r="I82" s="101">
        <v>46063.0</v>
      </c>
      <c r="J82" s="98" t="s">
        <v>444</v>
      </c>
      <c r="K82" s="102" t="s">
        <v>465</v>
      </c>
      <c r="L82" s="1"/>
      <c r="M82" s="1"/>
      <c r="N82" s="1"/>
      <c r="O82" s="1"/>
      <c r="P82" s="1"/>
      <c r="Q82" s="1"/>
      <c r="R82" s="1"/>
      <c r="S82" s="1"/>
      <c r="T82" s="1"/>
    </row>
    <row r="83" ht="15.75" customHeight="1">
      <c r="A83" s="97">
        <v>82.0</v>
      </c>
      <c r="B83" s="98" t="s">
        <v>29</v>
      </c>
      <c r="C83" s="99"/>
      <c r="D83" s="108" t="s">
        <v>37</v>
      </c>
      <c r="E83" s="21">
        <v>34990.0</v>
      </c>
      <c r="F83" s="105">
        <v>27992.0</v>
      </c>
      <c r="G83" s="100"/>
      <c r="H83" s="98" t="s">
        <v>299</v>
      </c>
      <c r="I83" s="101">
        <v>46063.0</v>
      </c>
      <c r="J83" s="98" t="s">
        <v>444</v>
      </c>
      <c r="K83" s="102"/>
      <c r="L83" s="1"/>
      <c r="M83" s="1"/>
      <c r="N83" s="1"/>
      <c r="O83" s="1"/>
      <c r="P83" s="1"/>
      <c r="Q83" s="1"/>
      <c r="R83" s="1"/>
      <c r="S83" s="1"/>
      <c r="T83" s="1"/>
    </row>
    <row r="84" ht="15.75" customHeight="1">
      <c r="A84" s="97">
        <v>83.0</v>
      </c>
      <c r="B84" s="98" t="s">
        <v>398</v>
      </c>
      <c r="C84" s="99"/>
      <c r="D84" s="104" t="s">
        <v>15</v>
      </c>
      <c r="E84" s="21">
        <v>54990.0</v>
      </c>
      <c r="F84" s="105">
        <v>43992.0</v>
      </c>
      <c r="G84" s="100"/>
      <c r="H84" s="98" t="s">
        <v>299</v>
      </c>
      <c r="I84" s="101">
        <v>46064.0</v>
      </c>
      <c r="J84" s="98" t="s">
        <v>444</v>
      </c>
      <c r="K84" s="102"/>
      <c r="L84" s="1"/>
      <c r="M84" s="1"/>
      <c r="N84" s="1"/>
      <c r="O84" s="1"/>
      <c r="P84" s="1"/>
      <c r="Q84" s="1"/>
      <c r="R84" s="1"/>
      <c r="S84" s="1"/>
      <c r="T84" s="1"/>
    </row>
    <row r="85" ht="15.75" customHeight="1">
      <c r="A85" s="97">
        <v>84.0</v>
      </c>
      <c r="B85" s="98" t="s">
        <v>43</v>
      </c>
      <c r="C85" s="99"/>
      <c r="D85" s="104" t="s">
        <v>15</v>
      </c>
      <c r="E85" s="21">
        <v>54990.0</v>
      </c>
      <c r="F85" s="105">
        <v>43992.0</v>
      </c>
      <c r="G85" s="100"/>
      <c r="H85" s="98" t="s">
        <v>299</v>
      </c>
      <c r="I85" s="101">
        <v>46064.0</v>
      </c>
      <c r="J85" s="98" t="s">
        <v>439</v>
      </c>
      <c r="K85" s="102"/>
      <c r="L85" s="1"/>
      <c r="M85" s="1"/>
      <c r="N85" s="1"/>
      <c r="O85" s="1"/>
      <c r="P85" s="1"/>
      <c r="Q85" s="1"/>
      <c r="R85" s="1"/>
      <c r="S85" s="1"/>
      <c r="T85" s="1"/>
    </row>
    <row r="86" ht="15.75" customHeight="1">
      <c r="A86" s="97">
        <v>85.0</v>
      </c>
      <c r="B86" s="98" t="s">
        <v>118</v>
      </c>
      <c r="C86" s="99"/>
      <c r="D86" s="104" t="s">
        <v>15</v>
      </c>
      <c r="E86" s="21">
        <v>54990.0</v>
      </c>
      <c r="F86" s="105">
        <v>43992.0</v>
      </c>
      <c r="G86" s="100"/>
      <c r="H86" s="98" t="s">
        <v>299</v>
      </c>
      <c r="I86" s="101">
        <v>46064.0</v>
      </c>
      <c r="J86" s="98" t="s">
        <v>444</v>
      </c>
      <c r="K86" s="102"/>
      <c r="L86" s="1"/>
      <c r="M86" s="1"/>
      <c r="N86" s="1"/>
      <c r="O86" s="1"/>
      <c r="P86" s="1"/>
      <c r="Q86" s="1"/>
      <c r="R86" s="1"/>
      <c r="S86" s="1"/>
      <c r="T86" s="1"/>
    </row>
    <row r="87" ht="15.75" customHeight="1">
      <c r="A87" s="97">
        <v>86.0</v>
      </c>
      <c r="B87" s="98" t="s">
        <v>26</v>
      </c>
      <c r="C87" s="99"/>
      <c r="D87" s="104" t="s">
        <v>37</v>
      </c>
      <c r="E87" s="21">
        <v>5831.0</v>
      </c>
      <c r="F87" s="105">
        <v>5626.0</v>
      </c>
      <c r="G87" s="100"/>
      <c r="H87" s="98" t="s">
        <v>299</v>
      </c>
      <c r="I87" s="101">
        <v>46064.0</v>
      </c>
      <c r="J87" s="98" t="s">
        <v>439</v>
      </c>
      <c r="K87" s="102"/>
      <c r="L87" s="1"/>
      <c r="M87" s="1"/>
      <c r="N87" s="1"/>
      <c r="O87" s="1"/>
      <c r="P87" s="1"/>
      <c r="Q87" s="1"/>
      <c r="R87" s="1"/>
      <c r="S87" s="1"/>
      <c r="T87" s="1"/>
    </row>
    <row r="88" ht="15.75" customHeight="1">
      <c r="A88" s="97">
        <v>87.0</v>
      </c>
      <c r="B88" s="98" t="s">
        <v>207</v>
      </c>
      <c r="C88" s="99"/>
      <c r="D88" s="104" t="s">
        <v>15</v>
      </c>
      <c r="E88" s="21">
        <v>20000.0</v>
      </c>
      <c r="F88" s="105">
        <v>19300.0</v>
      </c>
      <c r="G88" s="100">
        <v>34990.0</v>
      </c>
      <c r="H88" s="98" t="s">
        <v>299</v>
      </c>
      <c r="I88" s="101">
        <v>46065.0</v>
      </c>
      <c r="J88" s="98" t="s">
        <v>439</v>
      </c>
      <c r="K88" s="102" t="s">
        <v>466</v>
      </c>
      <c r="L88" s="1"/>
      <c r="M88" s="1"/>
      <c r="N88" s="1"/>
      <c r="O88" s="1"/>
      <c r="P88" s="1"/>
      <c r="Q88" s="1"/>
      <c r="R88" s="1"/>
      <c r="S88" s="1"/>
      <c r="T88" s="1"/>
    </row>
    <row r="89" ht="15.75" customHeight="1">
      <c r="A89" s="97">
        <v>88.0</v>
      </c>
      <c r="B89" s="98" t="s">
        <v>29</v>
      </c>
      <c r="C89" s="99"/>
      <c r="D89" s="104" t="s">
        <v>15</v>
      </c>
      <c r="E89" s="21">
        <v>79990.0</v>
      </c>
      <c r="F89" s="105">
        <v>65591.0</v>
      </c>
      <c r="G89" s="100"/>
      <c r="H89" s="98" t="s">
        <v>299</v>
      </c>
      <c r="I89" s="101">
        <v>46066.0</v>
      </c>
      <c r="J89" s="98" t="s">
        <v>444</v>
      </c>
      <c r="K89" s="102"/>
      <c r="L89" s="1"/>
      <c r="M89" s="1"/>
      <c r="N89" s="1"/>
      <c r="O89" s="1"/>
      <c r="P89" s="1"/>
      <c r="Q89" s="1"/>
      <c r="R89" s="1"/>
      <c r="S89" s="1"/>
      <c r="T89" s="1"/>
    </row>
    <row r="90" ht="15.75" customHeight="1">
      <c r="A90" s="97">
        <v>89.0</v>
      </c>
      <c r="B90" s="98" t="s">
        <v>406</v>
      </c>
      <c r="C90" s="99"/>
      <c r="D90" s="104" t="s">
        <v>37</v>
      </c>
      <c r="E90" s="21">
        <v>34990.0</v>
      </c>
      <c r="F90" s="105">
        <v>28691.0</v>
      </c>
      <c r="G90" s="100"/>
      <c r="H90" s="98" t="s">
        <v>299</v>
      </c>
      <c r="I90" s="101">
        <v>46066.0</v>
      </c>
      <c r="J90" s="98" t="s">
        <v>444</v>
      </c>
      <c r="K90" s="102"/>
      <c r="L90" s="1"/>
      <c r="M90" s="1"/>
      <c r="N90" s="1"/>
      <c r="O90" s="1"/>
      <c r="P90" s="1"/>
      <c r="Q90" s="1"/>
      <c r="R90" s="1"/>
      <c r="S90" s="1"/>
      <c r="T90" s="1"/>
    </row>
    <row r="91" ht="15.75" customHeight="1">
      <c r="A91" s="97">
        <v>90.0</v>
      </c>
      <c r="B91" s="98" t="s">
        <v>416</v>
      </c>
      <c r="C91" s="99"/>
      <c r="D91" s="104" t="s">
        <v>37</v>
      </c>
      <c r="E91" s="21">
        <v>34990.0</v>
      </c>
      <c r="F91" s="105">
        <v>8443.0</v>
      </c>
      <c r="G91" s="100">
        <v>26547.0</v>
      </c>
      <c r="H91" s="98" t="s">
        <v>299</v>
      </c>
      <c r="I91" s="101">
        <v>46066.0</v>
      </c>
      <c r="J91" s="98" t="s">
        <v>444</v>
      </c>
      <c r="K91" s="102" t="s">
        <v>467</v>
      </c>
      <c r="L91" s="1"/>
      <c r="M91" s="1"/>
      <c r="N91" s="1"/>
      <c r="O91" s="1"/>
      <c r="P91" s="1"/>
      <c r="Q91" s="1"/>
      <c r="R91" s="1"/>
      <c r="S91" s="1"/>
      <c r="T91" s="1"/>
    </row>
    <row r="92" ht="15.75" customHeight="1">
      <c r="A92" s="97">
        <v>91.0</v>
      </c>
      <c r="B92" s="98" t="s">
        <v>90</v>
      </c>
      <c r="C92" s="99"/>
      <c r="D92" s="104" t="s">
        <v>37</v>
      </c>
      <c r="E92" s="21">
        <v>34990.0</v>
      </c>
      <c r="F92" s="105">
        <v>11290.0</v>
      </c>
      <c r="G92" s="100">
        <v>23700.0</v>
      </c>
      <c r="H92" s="98" t="s">
        <v>299</v>
      </c>
      <c r="I92" s="101">
        <v>46067.0</v>
      </c>
      <c r="J92" s="98" t="s">
        <v>444</v>
      </c>
      <c r="K92" s="102" t="s">
        <v>468</v>
      </c>
      <c r="L92" s="1"/>
      <c r="M92" s="1"/>
      <c r="N92" s="1"/>
      <c r="O92" s="1"/>
      <c r="P92" s="1"/>
      <c r="Q92" s="1"/>
      <c r="R92" s="1"/>
      <c r="S92" s="1"/>
      <c r="T92" s="1"/>
    </row>
    <row r="93" ht="15.75" customHeight="1">
      <c r="A93" s="97">
        <v>92.0</v>
      </c>
      <c r="B93" s="98" t="s">
        <v>469</v>
      </c>
      <c r="C93" s="99"/>
      <c r="D93" s="104" t="s">
        <v>470</v>
      </c>
      <c r="E93" s="21">
        <v>15000.0</v>
      </c>
      <c r="F93" s="105">
        <f>E93*0.96</f>
        <v>14400</v>
      </c>
      <c r="G93" s="100"/>
      <c r="H93" s="98" t="s">
        <v>293</v>
      </c>
      <c r="I93" s="101">
        <v>46068.0</v>
      </c>
      <c r="J93" s="98" t="s">
        <v>444</v>
      </c>
      <c r="K93" s="102"/>
      <c r="L93" s="1"/>
      <c r="M93" s="1"/>
      <c r="N93" s="1"/>
      <c r="O93" s="1"/>
      <c r="P93" s="1"/>
      <c r="Q93" s="1"/>
      <c r="R93" s="1"/>
      <c r="S93" s="1"/>
      <c r="T93" s="1"/>
    </row>
    <row r="94" ht="15.75" customHeight="1">
      <c r="A94" s="97">
        <v>93.0</v>
      </c>
      <c r="B94" s="98" t="s">
        <v>95</v>
      </c>
      <c r="C94" s="99"/>
      <c r="D94" s="104" t="s">
        <v>15</v>
      </c>
      <c r="E94" s="21">
        <v>79990.0</v>
      </c>
      <c r="F94" s="105">
        <v>77190.0</v>
      </c>
      <c r="G94" s="100"/>
      <c r="H94" s="98" t="s">
        <v>293</v>
      </c>
      <c r="I94" s="101">
        <v>46068.0</v>
      </c>
      <c r="J94" s="98" t="s">
        <v>439</v>
      </c>
      <c r="K94" s="102"/>
      <c r="L94" s="1"/>
      <c r="M94" s="1"/>
      <c r="N94" s="1"/>
      <c r="O94" s="1"/>
      <c r="P94" s="1"/>
      <c r="Q94" s="1"/>
      <c r="R94" s="1"/>
      <c r="S94" s="1"/>
      <c r="T94" s="1"/>
    </row>
    <row r="95" ht="15.75" customHeight="1">
      <c r="A95" s="97">
        <v>94.0</v>
      </c>
      <c r="B95" s="98" t="s">
        <v>90</v>
      </c>
      <c r="C95" s="99"/>
      <c r="D95" s="104" t="s">
        <v>15</v>
      </c>
      <c r="E95" s="21">
        <v>54990.0</v>
      </c>
      <c r="F95" s="105">
        <v>48611.16</v>
      </c>
      <c r="G95" s="100"/>
      <c r="H95" s="98" t="s">
        <v>471</v>
      </c>
      <c r="I95" s="101">
        <v>46068.0</v>
      </c>
      <c r="J95" s="98" t="s">
        <v>439</v>
      </c>
      <c r="K95" s="102"/>
      <c r="L95" s="1"/>
      <c r="M95" s="1"/>
      <c r="N95" s="1"/>
      <c r="O95" s="1"/>
      <c r="P95" s="1"/>
      <c r="Q95" s="1"/>
      <c r="R95" s="1"/>
      <c r="S95" s="1"/>
      <c r="T95" s="1"/>
    </row>
    <row r="96" ht="15.75" customHeight="1">
      <c r="A96" s="97">
        <v>95.0</v>
      </c>
      <c r="B96" s="98" t="s">
        <v>65</v>
      </c>
      <c r="C96" s="99"/>
      <c r="D96" s="104" t="s">
        <v>15</v>
      </c>
      <c r="E96" s="21">
        <v>79990.0</v>
      </c>
      <c r="F96" s="22">
        <v>65591.0</v>
      </c>
      <c r="G96" s="100"/>
      <c r="H96" s="98" t="s">
        <v>299</v>
      </c>
      <c r="I96" s="101">
        <v>46069.0</v>
      </c>
      <c r="J96" s="98" t="s">
        <v>444</v>
      </c>
      <c r="K96" s="102"/>
      <c r="L96" s="1"/>
      <c r="M96" s="1"/>
      <c r="N96" s="1"/>
      <c r="O96" s="1"/>
      <c r="P96" s="1"/>
      <c r="Q96" s="1"/>
      <c r="R96" s="1"/>
      <c r="S96" s="1"/>
      <c r="T96" s="1"/>
    </row>
    <row r="97" ht="15.75" customHeight="1">
      <c r="A97" s="97"/>
      <c r="B97" s="98"/>
      <c r="C97" s="99"/>
      <c r="D97" s="104"/>
      <c r="E97" s="21"/>
      <c r="F97" s="22"/>
      <c r="G97" s="100"/>
      <c r="H97" s="98"/>
      <c r="I97" s="101"/>
      <c r="J97" s="98"/>
      <c r="K97" s="102"/>
      <c r="L97" s="1"/>
      <c r="M97" s="1"/>
      <c r="N97" s="1"/>
      <c r="O97" s="1"/>
      <c r="P97" s="1"/>
      <c r="Q97" s="1"/>
      <c r="R97" s="1"/>
      <c r="S97" s="1"/>
      <c r="T97" s="1"/>
    </row>
    <row r="98" ht="15.75" customHeight="1">
      <c r="A98" s="97"/>
      <c r="B98" s="98"/>
      <c r="C98" s="99"/>
      <c r="D98" s="104"/>
      <c r="E98" s="21"/>
      <c r="F98" s="22"/>
      <c r="G98" s="100"/>
      <c r="H98" s="98"/>
      <c r="I98" s="101"/>
      <c r="J98" s="98"/>
      <c r="K98" s="102"/>
      <c r="L98" s="1"/>
      <c r="M98" s="1"/>
      <c r="N98" s="1"/>
      <c r="O98" s="1"/>
      <c r="P98" s="1"/>
      <c r="Q98" s="1"/>
      <c r="R98" s="1"/>
      <c r="S98" s="1"/>
      <c r="T98" s="1"/>
    </row>
    <row r="99" ht="15.75" customHeight="1">
      <c r="A99" s="97"/>
      <c r="B99" s="98"/>
      <c r="C99" s="99"/>
      <c r="D99" s="104"/>
      <c r="E99" s="21"/>
      <c r="F99" s="22"/>
      <c r="G99" s="100"/>
      <c r="H99" s="98"/>
      <c r="I99" s="101"/>
      <c r="J99" s="98"/>
      <c r="K99" s="102"/>
      <c r="L99" s="1"/>
      <c r="M99" s="1"/>
      <c r="N99" s="1"/>
      <c r="O99" s="1"/>
      <c r="P99" s="1"/>
      <c r="Q99" s="1"/>
      <c r="R99" s="1"/>
      <c r="S99" s="1"/>
      <c r="T99" s="1"/>
    </row>
    <row r="100" ht="15.75" customHeight="1">
      <c r="A100" s="97"/>
      <c r="B100" s="98"/>
      <c r="C100" s="99"/>
      <c r="D100" s="104"/>
      <c r="E100" s="21"/>
      <c r="F100" s="22"/>
      <c r="G100" s="100"/>
      <c r="H100" s="98"/>
      <c r="I100" s="101"/>
      <c r="J100" s="98"/>
      <c r="K100" s="102"/>
      <c r="L100" s="1"/>
      <c r="M100" s="1"/>
      <c r="N100" s="1"/>
      <c r="O100" s="1"/>
      <c r="P100" s="1"/>
      <c r="Q100" s="1"/>
      <c r="R100" s="1"/>
      <c r="S100" s="1"/>
      <c r="T100" s="1"/>
    </row>
    <row r="101" ht="15.75" customHeight="1">
      <c r="A101" s="97"/>
      <c r="B101" s="98"/>
      <c r="C101" s="99"/>
      <c r="D101" s="104"/>
      <c r="E101" s="21"/>
      <c r="F101" s="22"/>
      <c r="G101" s="100"/>
      <c r="H101" s="98"/>
      <c r="I101" s="101"/>
      <c r="J101" s="98"/>
      <c r="K101" s="102"/>
      <c r="L101" s="1"/>
      <c r="M101" s="1"/>
      <c r="N101" s="1"/>
      <c r="O101" s="1"/>
      <c r="P101" s="1"/>
      <c r="Q101" s="1"/>
      <c r="R101" s="1"/>
      <c r="S101" s="1"/>
      <c r="T101" s="1"/>
    </row>
    <row r="102" ht="15.75" customHeight="1">
      <c r="A102" s="97"/>
      <c r="B102" s="98"/>
      <c r="C102" s="99"/>
      <c r="D102" s="104"/>
      <c r="E102" s="21"/>
      <c r="F102" s="22"/>
      <c r="G102" s="100"/>
      <c r="H102" s="98"/>
      <c r="I102" s="101"/>
      <c r="J102" s="98"/>
      <c r="K102" s="102"/>
      <c r="L102" s="1"/>
      <c r="M102" s="1"/>
      <c r="N102" s="1"/>
      <c r="O102" s="1"/>
      <c r="P102" s="1"/>
      <c r="Q102" s="1"/>
      <c r="R102" s="1"/>
      <c r="S102" s="1"/>
      <c r="T102" s="1"/>
    </row>
    <row r="103" ht="15.75" customHeight="1">
      <c r="A103" s="97"/>
      <c r="B103" s="98"/>
      <c r="C103" s="99"/>
      <c r="D103" s="104"/>
      <c r="E103" s="21"/>
      <c r="F103" s="22"/>
      <c r="G103" s="100"/>
      <c r="H103" s="98"/>
      <c r="I103" s="101"/>
      <c r="J103" s="98"/>
      <c r="K103" s="102"/>
      <c r="L103" s="1"/>
      <c r="M103" s="1"/>
      <c r="N103" s="1"/>
      <c r="O103" s="1"/>
      <c r="P103" s="1"/>
      <c r="Q103" s="1"/>
      <c r="R103" s="1"/>
      <c r="S103" s="1"/>
      <c r="T103" s="1"/>
    </row>
    <row r="104" ht="15.75" customHeight="1">
      <c r="A104" s="97"/>
      <c r="B104" s="98"/>
      <c r="C104" s="99"/>
      <c r="D104" s="104"/>
      <c r="E104" s="21"/>
      <c r="F104" s="22"/>
      <c r="G104" s="100"/>
      <c r="H104" s="98"/>
      <c r="I104" s="101"/>
      <c r="J104" s="98"/>
      <c r="K104" s="102"/>
      <c r="L104" s="1"/>
      <c r="M104" s="1"/>
      <c r="N104" s="1"/>
      <c r="O104" s="1"/>
      <c r="P104" s="1"/>
      <c r="Q104" s="1"/>
      <c r="R104" s="1"/>
      <c r="S104" s="1"/>
      <c r="T104" s="1"/>
    </row>
    <row r="105" ht="15.75" customHeight="1">
      <c r="A105" s="113" t="s">
        <v>472</v>
      </c>
      <c r="B105" s="1"/>
      <c r="C105" s="114"/>
      <c r="D105" s="1"/>
      <c r="E105" s="115">
        <f t="shared" ref="E105:G105" si="1">SUM(E2:E93)</f>
        <v>4417557</v>
      </c>
      <c r="F105" s="115">
        <f t="shared" si="1"/>
        <v>3825059.23</v>
      </c>
      <c r="G105" s="115">
        <f t="shared" si="1"/>
        <v>223271</v>
      </c>
      <c r="H105" s="1"/>
      <c r="I105" s="28"/>
      <c r="J105" s="1"/>
      <c r="K105" s="115"/>
      <c r="L105" s="1"/>
      <c r="M105" s="1"/>
      <c r="N105" s="1"/>
      <c r="O105" s="1"/>
      <c r="P105" s="1"/>
      <c r="Q105" s="1"/>
      <c r="R105" s="1"/>
      <c r="S105" s="1"/>
      <c r="T105" s="1"/>
    </row>
    <row r="106" ht="15.75" customHeight="1">
      <c r="A106" s="1"/>
      <c r="B106" s="1"/>
      <c r="C106" s="1"/>
      <c r="D106" s="1"/>
      <c r="E106" s="1"/>
      <c r="F106" s="116"/>
      <c r="G106" s="1"/>
      <c r="H106" s="1"/>
      <c r="I106" s="28"/>
      <c r="J106" s="1"/>
      <c r="K106" s="2"/>
      <c r="L106" s="1"/>
      <c r="M106" s="1"/>
      <c r="N106" s="1"/>
      <c r="O106" s="1"/>
      <c r="P106" s="1"/>
      <c r="Q106" s="1"/>
      <c r="R106" s="1"/>
      <c r="S106" s="1"/>
      <c r="T106" s="1"/>
    </row>
    <row r="107" ht="15.75" customHeight="1">
      <c r="A107" s="1"/>
      <c r="B107" s="1"/>
      <c r="C107" s="1"/>
      <c r="D107" s="1"/>
      <c r="E107" s="1"/>
      <c r="F107" s="116"/>
      <c r="G107" s="1"/>
      <c r="H107" s="1"/>
      <c r="I107" s="28"/>
      <c r="J107" s="1"/>
      <c r="K107" s="2"/>
      <c r="L107" s="1"/>
      <c r="M107" s="1"/>
      <c r="N107" s="1"/>
      <c r="O107" s="1"/>
      <c r="P107" s="1"/>
      <c r="Q107" s="1"/>
      <c r="R107" s="1"/>
      <c r="S107" s="1"/>
      <c r="T107" s="1"/>
    </row>
    <row r="108" ht="15.75" customHeight="1">
      <c r="A108" s="1"/>
      <c r="B108" s="1"/>
      <c r="C108" s="1"/>
      <c r="D108" s="1"/>
      <c r="E108" s="1"/>
      <c r="F108" s="116"/>
      <c r="G108" s="1"/>
      <c r="H108" s="1"/>
      <c r="I108" s="28"/>
      <c r="J108" s="1"/>
      <c r="K108" s="2"/>
      <c r="L108" s="1"/>
      <c r="M108" s="1"/>
      <c r="N108" s="1"/>
      <c r="O108" s="1"/>
      <c r="P108" s="1"/>
      <c r="Q108" s="1"/>
      <c r="R108" s="1"/>
      <c r="S108" s="1"/>
      <c r="T108" s="1"/>
    </row>
    <row r="109" ht="15.75" customHeight="1">
      <c r="A109" s="1"/>
      <c r="B109" s="1"/>
      <c r="C109" s="1"/>
      <c r="D109" s="1"/>
      <c r="E109" s="1"/>
      <c r="F109" s="116"/>
      <c r="G109" s="1"/>
      <c r="H109" s="1"/>
      <c r="I109" s="28"/>
      <c r="J109" s="1"/>
      <c r="K109" s="2"/>
      <c r="L109" s="1"/>
      <c r="M109" s="1"/>
      <c r="N109" s="1"/>
      <c r="O109" s="1"/>
      <c r="P109" s="1"/>
      <c r="Q109" s="1"/>
      <c r="R109" s="1"/>
      <c r="S109" s="1"/>
      <c r="T109" s="1"/>
    </row>
    <row r="110" ht="15.75" customHeight="1">
      <c r="A110" s="1"/>
      <c r="B110" s="1"/>
      <c r="C110" s="1"/>
      <c r="D110" s="1"/>
      <c r="E110" s="1"/>
      <c r="F110" s="116"/>
      <c r="G110" s="1"/>
      <c r="H110" s="1"/>
      <c r="I110" s="28"/>
      <c r="J110" s="1"/>
      <c r="K110" s="2"/>
      <c r="L110" s="1"/>
      <c r="M110" s="1"/>
      <c r="N110" s="1"/>
      <c r="O110" s="1"/>
      <c r="P110" s="1"/>
      <c r="Q110" s="1"/>
      <c r="R110" s="1"/>
      <c r="S110" s="1"/>
      <c r="T110" s="1"/>
    </row>
    <row r="111" ht="15.75" customHeight="1">
      <c r="A111" s="1"/>
      <c r="B111" s="1"/>
      <c r="C111" s="1"/>
      <c r="D111" s="1"/>
      <c r="E111" s="1"/>
      <c r="F111" s="116"/>
      <c r="G111" s="1"/>
      <c r="H111" s="1"/>
      <c r="I111" s="28"/>
      <c r="J111" s="1"/>
      <c r="K111" s="2"/>
      <c r="L111" s="1"/>
      <c r="M111" s="1"/>
      <c r="N111" s="1"/>
      <c r="O111" s="1"/>
      <c r="P111" s="1"/>
      <c r="Q111" s="1"/>
      <c r="R111" s="1"/>
      <c r="S111" s="1"/>
      <c r="T111" s="1"/>
    </row>
    <row r="112" ht="15.75" customHeight="1">
      <c r="A112" s="1"/>
      <c r="B112" s="1"/>
      <c r="C112" s="1"/>
      <c r="D112" s="1"/>
      <c r="E112" s="1"/>
      <c r="F112" s="116"/>
      <c r="G112" s="1"/>
      <c r="H112" s="1"/>
      <c r="I112" s="28"/>
      <c r="J112" s="1"/>
      <c r="K112" s="2"/>
      <c r="L112" s="1"/>
      <c r="M112" s="1"/>
      <c r="N112" s="1"/>
      <c r="O112" s="1"/>
      <c r="P112" s="1"/>
      <c r="Q112" s="1"/>
      <c r="R112" s="1"/>
      <c r="S112" s="1"/>
      <c r="T112" s="1"/>
    </row>
    <row r="113" ht="15.75" customHeight="1">
      <c r="A113" s="1"/>
      <c r="B113" s="1"/>
      <c r="C113" s="1"/>
      <c r="D113" s="1"/>
      <c r="E113" s="1"/>
      <c r="F113" s="116"/>
      <c r="G113" s="1"/>
      <c r="H113" s="1"/>
      <c r="I113" s="28"/>
      <c r="J113" s="1"/>
      <c r="K113" s="2"/>
      <c r="L113" s="1"/>
      <c r="M113" s="1"/>
      <c r="N113" s="1"/>
      <c r="O113" s="1"/>
      <c r="P113" s="1"/>
      <c r="Q113" s="1"/>
      <c r="R113" s="1"/>
      <c r="S113" s="1"/>
      <c r="T113" s="1"/>
    </row>
    <row r="114" ht="15.75" customHeight="1">
      <c r="A114" s="1"/>
      <c r="B114" s="1"/>
      <c r="C114" s="1"/>
      <c r="D114" s="1"/>
      <c r="E114" s="1"/>
      <c r="F114" s="116"/>
      <c r="G114" s="1"/>
      <c r="H114" s="1"/>
      <c r="I114" s="28"/>
      <c r="J114" s="1"/>
      <c r="K114" s="2"/>
      <c r="L114" s="1"/>
      <c r="M114" s="1"/>
      <c r="N114" s="1"/>
      <c r="O114" s="1"/>
      <c r="P114" s="1"/>
      <c r="Q114" s="1"/>
      <c r="R114" s="1"/>
      <c r="S114" s="1"/>
      <c r="T114" s="1"/>
    </row>
    <row r="115" ht="15.75" customHeight="1">
      <c r="A115" s="1"/>
      <c r="B115" s="1"/>
      <c r="C115" s="1"/>
      <c r="D115" s="1"/>
      <c r="E115" s="1"/>
      <c r="F115" s="116"/>
      <c r="G115" s="1"/>
      <c r="H115" s="1"/>
      <c r="I115" s="28"/>
      <c r="J115" s="1"/>
      <c r="K115" s="2"/>
      <c r="L115" s="1"/>
      <c r="M115" s="1"/>
      <c r="N115" s="1"/>
      <c r="O115" s="1"/>
      <c r="P115" s="1"/>
      <c r="Q115" s="1"/>
      <c r="R115" s="1"/>
      <c r="S115" s="1"/>
      <c r="T115" s="1"/>
    </row>
    <row r="116" ht="15.75" customHeight="1">
      <c r="A116" s="1"/>
      <c r="B116" s="1"/>
      <c r="C116" s="1"/>
      <c r="D116" s="1"/>
      <c r="E116" s="1"/>
      <c r="F116" s="116"/>
      <c r="G116" s="1"/>
      <c r="H116" s="1"/>
      <c r="I116" s="28"/>
      <c r="J116" s="1"/>
      <c r="K116" s="2"/>
      <c r="L116" s="1"/>
      <c r="M116" s="1"/>
      <c r="N116" s="1"/>
      <c r="O116" s="1"/>
      <c r="P116" s="1"/>
      <c r="Q116" s="1"/>
      <c r="R116" s="1"/>
      <c r="S116" s="1"/>
      <c r="T116" s="1"/>
    </row>
    <row r="117" ht="15.75" customHeight="1">
      <c r="A117" s="1"/>
      <c r="B117" s="1"/>
      <c r="C117" s="1"/>
      <c r="D117" s="1"/>
      <c r="E117" s="1"/>
      <c r="F117" s="116"/>
      <c r="G117" s="1"/>
      <c r="H117" s="1"/>
      <c r="I117" s="28"/>
      <c r="J117" s="1"/>
      <c r="K117" s="2"/>
      <c r="L117" s="1"/>
      <c r="M117" s="1"/>
      <c r="N117" s="1"/>
      <c r="O117" s="1"/>
      <c r="P117" s="1"/>
      <c r="Q117" s="1"/>
      <c r="R117" s="1"/>
      <c r="S117" s="1"/>
      <c r="T117" s="1"/>
    </row>
    <row r="118" ht="15.75" customHeight="1">
      <c r="A118" s="1"/>
      <c r="B118" s="1"/>
      <c r="C118" s="1"/>
      <c r="D118" s="1"/>
      <c r="E118" s="1"/>
      <c r="F118" s="116"/>
      <c r="G118" s="1"/>
      <c r="H118" s="1"/>
      <c r="I118" s="28"/>
      <c r="J118" s="1"/>
      <c r="K118" s="2"/>
      <c r="L118" s="1"/>
      <c r="M118" s="1"/>
      <c r="N118" s="1"/>
      <c r="O118" s="1"/>
      <c r="P118" s="1"/>
      <c r="Q118" s="1"/>
      <c r="R118" s="1"/>
      <c r="S118" s="1"/>
      <c r="T118" s="1"/>
    </row>
    <row r="119" ht="15.75" customHeight="1">
      <c r="A119" s="1"/>
      <c r="B119" s="1"/>
      <c r="C119" s="1"/>
      <c r="D119" s="1"/>
      <c r="E119" s="1"/>
      <c r="F119" s="116"/>
      <c r="G119" s="1"/>
      <c r="H119" s="1"/>
      <c r="I119" s="28"/>
      <c r="J119" s="1"/>
      <c r="K119" s="2"/>
      <c r="L119" s="1"/>
      <c r="M119" s="1"/>
      <c r="N119" s="1"/>
      <c r="O119" s="1"/>
      <c r="P119" s="1"/>
      <c r="Q119" s="1"/>
      <c r="R119" s="1"/>
      <c r="S119" s="1"/>
      <c r="T119" s="1"/>
    </row>
    <row r="120" ht="15.75" customHeight="1">
      <c r="A120" s="1"/>
      <c r="B120" s="1"/>
      <c r="C120" s="1"/>
      <c r="D120" s="1"/>
      <c r="E120" s="1"/>
      <c r="F120" s="116"/>
      <c r="G120" s="1"/>
      <c r="H120" s="1"/>
      <c r="I120" s="28"/>
      <c r="J120" s="1"/>
      <c r="K120" s="2"/>
      <c r="L120" s="1"/>
      <c r="M120" s="1"/>
      <c r="N120" s="1"/>
      <c r="O120" s="1"/>
      <c r="P120" s="1"/>
      <c r="Q120" s="1"/>
      <c r="R120" s="1"/>
      <c r="S120" s="1"/>
      <c r="T120" s="1"/>
    </row>
    <row r="121" ht="15.75" customHeight="1">
      <c r="A121" s="1"/>
      <c r="B121" s="1"/>
      <c r="C121" s="1"/>
      <c r="D121" s="1"/>
      <c r="E121" s="1"/>
      <c r="F121" s="116"/>
      <c r="G121" s="1"/>
      <c r="H121" s="1"/>
      <c r="I121" s="28"/>
      <c r="J121" s="1"/>
      <c r="K121" s="2"/>
      <c r="L121" s="1"/>
      <c r="M121" s="1"/>
      <c r="N121" s="1"/>
      <c r="O121" s="1"/>
      <c r="P121" s="1"/>
      <c r="Q121" s="1"/>
      <c r="R121" s="1"/>
      <c r="S121" s="1"/>
      <c r="T121" s="1"/>
    </row>
    <row r="122" ht="15.75" customHeight="1">
      <c r="A122" s="1"/>
      <c r="B122" s="1"/>
      <c r="C122" s="1"/>
      <c r="D122" s="1"/>
      <c r="E122" s="1"/>
      <c r="F122" s="116"/>
      <c r="G122" s="1"/>
      <c r="H122" s="1"/>
      <c r="I122" s="28"/>
      <c r="J122" s="1"/>
      <c r="K122" s="2"/>
      <c r="L122" s="1"/>
      <c r="M122" s="1"/>
      <c r="N122" s="1"/>
      <c r="O122" s="1"/>
      <c r="P122" s="1"/>
      <c r="Q122" s="1"/>
      <c r="R122" s="1"/>
      <c r="S122" s="1"/>
      <c r="T122" s="1"/>
    </row>
    <row r="123" ht="15.75" customHeight="1">
      <c r="A123" s="1"/>
      <c r="B123" s="1"/>
      <c r="C123" s="1"/>
      <c r="D123" s="1"/>
      <c r="E123" s="1"/>
      <c r="F123" s="116"/>
      <c r="G123" s="1"/>
      <c r="H123" s="1"/>
      <c r="I123" s="28"/>
      <c r="J123" s="1"/>
      <c r="K123" s="2"/>
      <c r="L123" s="1"/>
      <c r="M123" s="1"/>
      <c r="N123" s="1"/>
      <c r="O123" s="1"/>
      <c r="P123" s="1"/>
      <c r="Q123" s="1"/>
      <c r="R123" s="1"/>
      <c r="S123" s="1"/>
      <c r="T123" s="1"/>
    </row>
    <row r="124" ht="15.75" customHeight="1">
      <c r="A124" s="1"/>
      <c r="B124" s="1"/>
      <c r="C124" s="1"/>
      <c r="D124" s="1"/>
      <c r="E124" s="1"/>
      <c r="F124" s="116"/>
      <c r="G124" s="1"/>
      <c r="H124" s="1"/>
      <c r="I124" s="28"/>
      <c r="J124" s="1"/>
      <c r="K124" s="2"/>
      <c r="L124" s="1"/>
      <c r="M124" s="1"/>
      <c r="N124" s="1"/>
      <c r="O124" s="1"/>
      <c r="P124" s="1"/>
      <c r="Q124" s="1"/>
      <c r="R124" s="1"/>
      <c r="S124" s="1"/>
      <c r="T124" s="1"/>
    </row>
    <row r="125" ht="15.75" customHeight="1">
      <c r="A125" s="1"/>
      <c r="B125" s="1"/>
      <c r="C125" s="1"/>
      <c r="D125" s="1"/>
      <c r="E125" s="1"/>
      <c r="F125" s="116"/>
      <c r="G125" s="1"/>
      <c r="H125" s="1"/>
      <c r="I125" s="28"/>
      <c r="J125" s="1"/>
      <c r="K125" s="2"/>
      <c r="L125" s="1"/>
      <c r="M125" s="1"/>
      <c r="N125" s="1"/>
      <c r="O125" s="1"/>
      <c r="P125" s="1"/>
      <c r="Q125" s="1"/>
      <c r="R125" s="1"/>
      <c r="S125" s="1"/>
      <c r="T125" s="1"/>
    </row>
    <row r="126" ht="15.75" customHeight="1">
      <c r="A126" s="1"/>
      <c r="B126" s="1"/>
      <c r="C126" s="1"/>
      <c r="D126" s="1"/>
      <c r="E126" s="1"/>
      <c r="F126" s="116"/>
      <c r="G126" s="1"/>
      <c r="H126" s="1"/>
      <c r="I126" s="28"/>
      <c r="J126" s="1"/>
      <c r="K126" s="2"/>
      <c r="L126" s="1"/>
      <c r="M126" s="1"/>
      <c r="N126" s="1"/>
      <c r="O126" s="1"/>
      <c r="P126" s="1"/>
      <c r="Q126" s="1"/>
      <c r="R126" s="1"/>
      <c r="S126" s="1"/>
      <c r="T126" s="1"/>
    </row>
    <row r="127" ht="15.75" customHeight="1">
      <c r="A127" s="1"/>
      <c r="B127" s="1"/>
      <c r="C127" s="1"/>
      <c r="D127" s="1"/>
      <c r="E127" s="1"/>
      <c r="F127" s="116"/>
      <c r="G127" s="1"/>
      <c r="H127" s="1"/>
      <c r="I127" s="28"/>
      <c r="J127" s="1"/>
      <c r="K127" s="2"/>
      <c r="L127" s="1"/>
      <c r="M127" s="1"/>
      <c r="N127" s="1"/>
      <c r="O127" s="1"/>
      <c r="P127" s="1"/>
      <c r="Q127" s="1"/>
      <c r="R127" s="1"/>
      <c r="S127" s="1"/>
      <c r="T127" s="1"/>
    </row>
    <row r="128" ht="15.75" customHeight="1">
      <c r="A128" s="1"/>
      <c r="B128" s="1"/>
      <c r="C128" s="1"/>
      <c r="D128" s="1"/>
      <c r="E128" s="1"/>
      <c r="F128" s="116"/>
      <c r="G128" s="1"/>
      <c r="H128" s="1"/>
      <c r="I128" s="28"/>
      <c r="J128" s="1"/>
      <c r="K128" s="2"/>
      <c r="L128" s="1"/>
      <c r="M128" s="1"/>
      <c r="N128" s="1"/>
      <c r="O128" s="1"/>
      <c r="P128" s="1"/>
      <c r="Q128" s="1"/>
      <c r="R128" s="1"/>
      <c r="S128" s="1"/>
      <c r="T128" s="1"/>
    </row>
    <row r="129" ht="15.75" customHeight="1">
      <c r="A129" s="1"/>
      <c r="B129" s="1"/>
      <c r="C129" s="1"/>
      <c r="D129" s="1"/>
      <c r="E129" s="1"/>
      <c r="F129" s="116"/>
      <c r="G129" s="1"/>
      <c r="H129" s="1"/>
      <c r="I129" s="28"/>
      <c r="J129" s="1"/>
      <c r="K129" s="2"/>
      <c r="L129" s="1"/>
      <c r="M129" s="1"/>
      <c r="N129" s="1"/>
      <c r="O129" s="1"/>
      <c r="P129" s="1"/>
      <c r="Q129" s="1"/>
      <c r="R129" s="1"/>
      <c r="S129" s="1"/>
      <c r="T129" s="1"/>
    </row>
    <row r="130" ht="15.75" customHeight="1">
      <c r="A130" s="1"/>
      <c r="B130" s="1"/>
      <c r="C130" s="1"/>
      <c r="D130" s="1"/>
      <c r="E130" s="1"/>
      <c r="F130" s="116"/>
      <c r="G130" s="1"/>
      <c r="H130" s="1"/>
      <c r="I130" s="28"/>
      <c r="J130" s="1"/>
      <c r="K130" s="2"/>
      <c r="L130" s="1"/>
      <c r="M130" s="1"/>
      <c r="N130" s="1"/>
      <c r="O130" s="1"/>
      <c r="P130" s="1"/>
      <c r="Q130" s="1"/>
      <c r="R130" s="1"/>
      <c r="S130" s="1"/>
      <c r="T130" s="1"/>
    </row>
    <row r="131" ht="15.75" customHeight="1">
      <c r="A131" s="1"/>
      <c r="B131" s="1"/>
      <c r="C131" s="1"/>
      <c r="D131" s="1"/>
      <c r="E131" s="1"/>
      <c r="F131" s="116"/>
      <c r="G131" s="1"/>
      <c r="H131" s="1"/>
      <c r="I131" s="28"/>
      <c r="J131" s="1"/>
      <c r="K131" s="2"/>
      <c r="L131" s="1"/>
      <c r="M131" s="1"/>
      <c r="N131" s="1"/>
      <c r="O131" s="1"/>
      <c r="P131" s="1"/>
      <c r="Q131" s="1"/>
      <c r="R131" s="1"/>
      <c r="S131" s="1"/>
      <c r="T131" s="1"/>
    </row>
    <row r="132" ht="15.75" customHeight="1">
      <c r="A132" s="1"/>
      <c r="B132" s="1"/>
      <c r="C132" s="1"/>
      <c r="D132" s="1"/>
      <c r="E132" s="1"/>
      <c r="F132" s="116"/>
      <c r="G132" s="1"/>
      <c r="H132" s="1"/>
      <c r="I132" s="28"/>
      <c r="J132" s="1"/>
      <c r="K132" s="2"/>
      <c r="L132" s="1"/>
      <c r="M132" s="1"/>
      <c r="N132" s="1"/>
      <c r="O132" s="1"/>
      <c r="P132" s="1"/>
      <c r="Q132" s="1"/>
      <c r="R132" s="1"/>
      <c r="S132" s="1"/>
      <c r="T132" s="1"/>
    </row>
    <row r="133" ht="15.75" customHeight="1">
      <c r="A133" s="1"/>
      <c r="B133" s="1"/>
      <c r="C133" s="1"/>
      <c r="D133" s="1"/>
      <c r="E133" s="1"/>
      <c r="F133" s="116"/>
      <c r="G133" s="1"/>
      <c r="H133" s="1"/>
      <c r="I133" s="28"/>
      <c r="J133" s="1"/>
      <c r="K133" s="2"/>
      <c r="L133" s="1"/>
      <c r="M133" s="1"/>
      <c r="N133" s="1"/>
      <c r="O133" s="1"/>
      <c r="P133" s="1"/>
      <c r="Q133" s="1"/>
      <c r="R133" s="1"/>
      <c r="S133" s="1"/>
      <c r="T133" s="1"/>
    </row>
    <row r="134" ht="15.75" customHeight="1">
      <c r="A134" s="1"/>
      <c r="B134" s="1"/>
      <c r="C134" s="1"/>
      <c r="D134" s="1"/>
      <c r="E134" s="1"/>
      <c r="F134" s="116"/>
      <c r="G134" s="1"/>
      <c r="H134" s="1"/>
      <c r="I134" s="28"/>
      <c r="J134" s="1"/>
      <c r="K134" s="2"/>
      <c r="L134" s="1"/>
      <c r="M134" s="1"/>
      <c r="N134" s="1"/>
      <c r="O134" s="1"/>
      <c r="P134" s="1"/>
      <c r="Q134" s="1"/>
      <c r="R134" s="1"/>
      <c r="S134" s="1"/>
      <c r="T134" s="1"/>
    </row>
    <row r="135" ht="15.75" customHeight="1">
      <c r="A135" s="1"/>
      <c r="B135" s="1"/>
      <c r="C135" s="1"/>
      <c r="D135" s="1"/>
      <c r="E135" s="1"/>
      <c r="F135" s="116"/>
      <c r="G135" s="1"/>
      <c r="H135" s="1"/>
      <c r="I135" s="28"/>
      <c r="J135" s="1"/>
      <c r="K135" s="2"/>
      <c r="L135" s="1"/>
      <c r="M135" s="1"/>
      <c r="N135" s="1"/>
      <c r="O135" s="1"/>
      <c r="P135" s="1"/>
      <c r="Q135" s="1"/>
      <c r="R135" s="1"/>
      <c r="S135" s="1"/>
      <c r="T135" s="1"/>
    </row>
    <row r="136" ht="15.75" customHeight="1">
      <c r="A136" s="1"/>
      <c r="B136" s="1"/>
      <c r="C136" s="1"/>
      <c r="D136" s="1"/>
      <c r="E136" s="1"/>
      <c r="F136" s="116"/>
      <c r="G136" s="1"/>
      <c r="H136" s="1"/>
      <c r="I136" s="28"/>
      <c r="J136" s="1"/>
      <c r="K136" s="2"/>
      <c r="L136" s="1"/>
      <c r="M136" s="1"/>
      <c r="N136" s="1"/>
      <c r="O136" s="1"/>
      <c r="P136" s="1"/>
      <c r="Q136" s="1"/>
      <c r="R136" s="1"/>
      <c r="S136" s="1"/>
      <c r="T136" s="1"/>
    </row>
    <row r="137" ht="15.75" customHeight="1">
      <c r="A137" s="1"/>
      <c r="B137" s="1"/>
      <c r="C137" s="1"/>
      <c r="D137" s="1"/>
      <c r="E137" s="1"/>
      <c r="F137" s="116"/>
      <c r="G137" s="1"/>
      <c r="H137" s="1"/>
      <c r="I137" s="28"/>
      <c r="J137" s="1"/>
      <c r="K137" s="2"/>
      <c r="L137" s="1"/>
      <c r="M137" s="1"/>
      <c r="N137" s="1"/>
      <c r="O137" s="1"/>
      <c r="P137" s="1"/>
      <c r="Q137" s="1"/>
      <c r="R137" s="1"/>
      <c r="S137" s="1"/>
      <c r="T137" s="1"/>
    </row>
    <row r="138" ht="15.75" customHeight="1">
      <c r="A138" s="1"/>
      <c r="B138" s="1"/>
      <c r="C138" s="1"/>
      <c r="D138" s="1"/>
      <c r="E138" s="1"/>
      <c r="F138" s="116"/>
      <c r="G138" s="1"/>
      <c r="H138" s="1"/>
      <c r="I138" s="28"/>
      <c r="J138" s="1"/>
      <c r="K138" s="2"/>
      <c r="L138" s="1"/>
      <c r="M138" s="1"/>
      <c r="N138" s="1"/>
      <c r="O138" s="1"/>
      <c r="P138" s="1"/>
      <c r="Q138" s="1"/>
      <c r="R138" s="1"/>
      <c r="S138" s="1"/>
      <c r="T138" s="1"/>
    </row>
    <row r="139" ht="15.75" customHeight="1">
      <c r="A139" s="1"/>
      <c r="B139" s="1"/>
      <c r="C139" s="1"/>
      <c r="D139" s="1"/>
      <c r="E139" s="1"/>
      <c r="F139" s="116"/>
      <c r="G139" s="1"/>
      <c r="H139" s="1"/>
      <c r="I139" s="28"/>
      <c r="J139" s="1"/>
      <c r="K139" s="2"/>
      <c r="L139" s="1"/>
      <c r="M139" s="1"/>
      <c r="N139" s="1"/>
      <c r="O139" s="1"/>
      <c r="P139" s="1"/>
      <c r="Q139" s="1"/>
      <c r="R139" s="1"/>
      <c r="S139" s="1"/>
      <c r="T139" s="1"/>
    </row>
    <row r="140" ht="15.75" customHeight="1">
      <c r="A140" s="1"/>
      <c r="B140" s="1"/>
      <c r="C140" s="1"/>
      <c r="D140" s="1"/>
      <c r="E140" s="1"/>
      <c r="F140" s="116"/>
      <c r="G140" s="1"/>
      <c r="H140" s="1"/>
      <c r="I140" s="28"/>
      <c r="J140" s="1"/>
      <c r="K140" s="2"/>
      <c r="L140" s="1"/>
      <c r="M140" s="1"/>
      <c r="N140" s="1"/>
      <c r="O140" s="1"/>
      <c r="P140" s="1"/>
      <c r="Q140" s="1"/>
      <c r="R140" s="1"/>
      <c r="S140" s="1"/>
      <c r="T140" s="1"/>
    </row>
    <row r="141" ht="15.75" customHeight="1">
      <c r="A141" s="1"/>
      <c r="B141" s="1"/>
      <c r="C141" s="1"/>
      <c r="D141" s="1"/>
      <c r="E141" s="1"/>
      <c r="F141" s="116"/>
      <c r="G141" s="1"/>
      <c r="H141" s="1"/>
      <c r="I141" s="28"/>
      <c r="J141" s="1"/>
      <c r="K141" s="2"/>
      <c r="L141" s="1"/>
      <c r="M141" s="1"/>
      <c r="N141" s="1"/>
      <c r="O141" s="1"/>
      <c r="P141" s="1"/>
      <c r="Q141" s="1"/>
      <c r="R141" s="1"/>
      <c r="S141" s="1"/>
      <c r="T141" s="1"/>
    </row>
    <row r="142" ht="15.75" customHeight="1">
      <c r="A142" s="1"/>
      <c r="B142" s="1"/>
      <c r="C142" s="1"/>
      <c r="D142" s="1"/>
      <c r="E142" s="1"/>
      <c r="F142" s="116"/>
      <c r="G142" s="1"/>
      <c r="H142" s="1"/>
      <c r="I142" s="28"/>
      <c r="J142" s="1"/>
      <c r="K142" s="2"/>
      <c r="L142" s="1"/>
      <c r="M142" s="1"/>
      <c r="N142" s="1"/>
      <c r="O142" s="1"/>
      <c r="P142" s="1"/>
      <c r="Q142" s="1"/>
      <c r="R142" s="1"/>
      <c r="S142" s="1"/>
      <c r="T142" s="1"/>
    </row>
    <row r="143" ht="15.75" customHeight="1">
      <c r="A143" s="1"/>
      <c r="B143" s="1"/>
      <c r="C143" s="1"/>
      <c r="D143" s="1"/>
      <c r="E143" s="1"/>
      <c r="F143" s="116"/>
      <c r="G143" s="1"/>
      <c r="H143" s="1"/>
      <c r="I143" s="28"/>
      <c r="J143" s="1"/>
      <c r="K143" s="2"/>
      <c r="L143" s="1"/>
      <c r="M143" s="1"/>
      <c r="N143" s="1"/>
      <c r="O143" s="1"/>
      <c r="P143" s="1"/>
      <c r="Q143" s="1"/>
      <c r="R143" s="1"/>
      <c r="S143" s="1"/>
      <c r="T143" s="1"/>
    </row>
    <row r="144" ht="15.75" customHeight="1">
      <c r="A144" s="1"/>
      <c r="B144" s="1"/>
      <c r="C144" s="1"/>
      <c r="D144" s="1"/>
      <c r="E144" s="1"/>
      <c r="F144" s="116"/>
      <c r="G144" s="1"/>
      <c r="H144" s="1"/>
      <c r="I144" s="28"/>
      <c r="J144" s="1"/>
      <c r="K144" s="2"/>
      <c r="L144" s="1"/>
      <c r="M144" s="1"/>
      <c r="N144" s="1"/>
      <c r="O144" s="1"/>
      <c r="P144" s="1"/>
      <c r="Q144" s="1"/>
      <c r="R144" s="1"/>
      <c r="S144" s="1"/>
      <c r="T144" s="1"/>
    </row>
    <row r="145" ht="15.75" customHeight="1">
      <c r="A145" s="1"/>
      <c r="B145" s="1"/>
      <c r="C145" s="1"/>
      <c r="D145" s="1"/>
      <c r="E145" s="1"/>
      <c r="F145" s="116"/>
      <c r="G145" s="1"/>
      <c r="H145" s="1"/>
      <c r="I145" s="28"/>
      <c r="J145" s="1"/>
      <c r="K145" s="2"/>
      <c r="L145" s="1"/>
      <c r="M145" s="1"/>
      <c r="N145" s="1"/>
      <c r="O145" s="1"/>
      <c r="P145" s="1"/>
      <c r="Q145" s="1"/>
      <c r="R145" s="1"/>
      <c r="S145" s="1"/>
      <c r="T145" s="1"/>
    </row>
    <row r="146" ht="15.75" customHeight="1">
      <c r="A146" s="1"/>
      <c r="B146" s="1"/>
      <c r="C146" s="1"/>
      <c r="D146" s="1"/>
      <c r="E146" s="1"/>
      <c r="F146" s="116"/>
      <c r="G146" s="1"/>
      <c r="H146" s="1"/>
      <c r="I146" s="28"/>
      <c r="J146" s="1"/>
      <c r="K146" s="2"/>
      <c r="L146" s="1"/>
      <c r="M146" s="1"/>
      <c r="N146" s="1"/>
      <c r="O146" s="1"/>
      <c r="P146" s="1"/>
      <c r="Q146" s="1"/>
      <c r="R146" s="1"/>
      <c r="S146" s="1"/>
      <c r="T146" s="1"/>
    </row>
    <row r="147" ht="15.75" customHeight="1">
      <c r="A147" s="1"/>
      <c r="B147" s="1"/>
      <c r="C147" s="1"/>
      <c r="D147" s="1"/>
      <c r="E147" s="1"/>
      <c r="F147" s="116"/>
      <c r="G147" s="1"/>
      <c r="H147" s="1"/>
      <c r="I147" s="28"/>
      <c r="J147" s="1"/>
      <c r="K147" s="2"/>
      <c r="L147" s="1"/>
      <c r="M147" s="1"/>
      <c r="N147" s="1"/>
      <c r="O147" s="1"/>
      <c r="P147" s="1"/>
      <c r="Q147" s="1"/>
      <c r="R147" s="1"/>
      <c r="S147" s="1"/>
      <c r="T147" s="1"/>
    </row>
    <row r="148" ht="15.75" customHeight="1">
      <c r="A148" s="1"/>
      <c r="B148" s="1"/>
      <c r="C148" s="1"/>
      <c r="D148" s="1"/>
      <c r="E148" s="1"/>
      <c r="F148" s="116"/>
      <c r="G148" s="1"/>
      <c r="H148" s="1"/>
      <c r="I148" s="28"/>
      <c r="J148" s="1"/>
      <c r="K148" s="2"/>
      <c r="L148" s="1"/>
      <c r="M148" s="1"/>
      <c r="N148" s="1"/>
      <c r="O148" s="1"/>
      <c r="P148" s="1"/>
      <c r="Q148" s="1"/>
      <c r="R148" s="1"/>
      <c r="S148" s="1"/>
      <c r="T148" s="1"/>
    </row>
    <row r="149" ht="15.75" customHeight="1">
      <c r="A149" s="1"/>
      <c r="B149" s="1"/>
      <c r="C149" s="1"/>
      <c r="D149" s="1"/>
      <c r="E149" s="1"/>
      <c r="F149" s="116"/>
      <c r="G149" s="1"/>
      <c r="H149" s="1"/>
      <c r="I149" s="28"/>
      <c r="J149" s="1"/>
      <c r="K149" s="2"/>
      <c r="L149" s="1"/>
      <c r="M149" s="1"/>
      <c r="N149" s="1"/>
      <c r="O149" s="1"/>
      <c r="P149" s="1"/>
      <c r="Q149" s="1"/>
      <c r="R149" s="1"/>
      <c r="S149" s="1"/>
      <c r="T149" s="1"/>
    </row>
    <row r="150" ht="15.75" customHeight="1">
      <c r="A150" s="1"/>
      <c r="B150" s="1"/>
      <c r="C150" s="1"/>
      <c r="D150" s="1"/>
      <c r="E150" s="1"/>
      <c r="F150" s="116"/>
      <c r="G150" s="1"/>
      <c r="H150" s="1"/>
      <c r="I150" s="28"/>
      <c r="J150" s="1"/>
      <c r="K150" s="2"/>
      <c r="L150" s="1"/>
      <c r="M150" s="1"/>
      <c r="N150" s="1"/>
      <c r="O150" s="1"/>
      <c r="P150" s="1"/>
      <c r="Q150" s="1"/>
      <c r="R150" s="1"/>
      <c r="S150" s="1"/>
      <c r="T150" s="1"/>
    </row>
    <row r="151" ht="15.75" customHeight="1">
      <c r="A151" s="1"/>
      <c r="B151" s="1"/>
      <c r="C151" s="1"/>
      <c r="D151" s="1"/>
      <c r="E151" s="1"/>
      <c r="F151" s="116"/>
      <c r="G151" s="1"/>
      <c r="H151" s="1"/>
      <c r="I151" s="28"/>
      <c r="J151" s="1"/>
      <c r="K151" s="2"/>
      <c r="L151" s="1"/>
      <c r="M151" s="1"/>
      <c r="N151" s="1"/>
      <c r="O151" s="1"/>
      <c r="P151" s="1"/>
      <c r="Q151" s="1"/>
      <c r="R151" s="1"/>
      <c r="S151" s="1"/>
      <c r="T151" s="1"/>
    </row>
    <row r="152" ht="15.75" customHeight="1">
      <c r="A152" s="1"/>
      <c r="B152" s="1"/>
      <c r="C152" s="1"/>
      <c r="D152" s="1"/>
      <c r="E152" s="1"/>
      <c r="F152" s="116"/>
      <c r="G152" s="1"/>
      <c r="H152" s="1"/>
      <c r="I152" s="28"/>
      <c r="J152" s="1"/>
      <c r="K152" s="2"/>
      <c r="L152" s="1"/>
      <c r="M152" s="1"/>
      <c r="N152" s="1"/>
      <c r="O152" s="1"/>
      <c r="P152" s="1"/>
      <c r="Q152" s="1"/>
      <c r="R152" s="1"/>
      <c r="S152" s="1"/>
      <c r="T152" s="1"/>
    </row>
    <row r="153" ht="15.75" customHeight="1">
      <c r="A153" s="1"/>
      <c r="B153" s="1"/>
      <c r="C153" s="1"/>
      <c r="D153" s="1"/>
      <c r="E153" s="1"/>
      <c r="F153" s="116"/>
      <c r="G153" s="1"/>
      <c r="H153" s="1"/>
      <c r="I153" s="28"/>
      <c r="J153" s="1"/>
      <c r="K153" s="2"/>
      <c r="L153" s="1"/>
      <c r="M153" s="1"/>
      <c r="N153" s="1"/>
      <c r="O153" s="1"/>
      <c r="P153" s="1"/>
      <c r="Q153" s="1"/>
      <c r="R153" s="1"/>
      <c r="S153" s="1"/>
      <c r="T153" s="1"/>
    </row>
    <row r="154" ht="15.75" customHeight="1">
      <c r="A154" s="1"/>
      <c r="B154" s="1"/>
      <c r="C154" s="1"/>
      <c r="D154" s="1"/>
      <c r="E154" s="1"/>
      <c r="F154" s="116"/>
      <c r="G154" s="1"/>
      <c r="H154" s="1"/>
      <c r="I154" s="28"/>
      <c r="J154" s="1"/>
      <c r="K154" s="2"/>
      <c r="L154" s="1"/>
      <c r="M154" s="1"/>
      <c r="N154" s="1"/>
      <c r="O154" s="1"/>
      <c r="P154" s="1"/>
      <c r="Q154" s="1"/>
      <c r="R154" s="1"/>
      <c r="S154" s="1"/>
      <c r="T154" s="1"/>
    </row>
    <row r="155" ht="15.75" customHeight="1">
      <c r="A155" s="1"/>
      <c r="B155" s="1"/>
      <c r="C155" s="1"/>
      <c r="D155" s="1"/>
      <c r="E155" s="1"/>
      <c r="F155" s="116"/>
      <c r="G155" s="1"/>
      <c r="H155" s="1"/>
      <c r="I155" s="28"/>
      <c r="J155" s="1"/>
      <c r="K155" s="2"/>
      <c r="L155" s="1"/>
      <c r="M155" s="1"/>
      <c r="N155" s="1"/>
      <c r="O155" s="1"/>
      <c r="P155" s="1"/>
      <c r="Q155" s="1"/>
      <c r="R155" s="1"/>
      <c r="S155" s="1"/>
      <c r="T155" s="1"/>
    </row>
    <row r="156" ht="15.75" customHeight="1">
      <c r="A156" s="1"/>
      <c r="B156" s="1"/>
      <c r="C156" s="1"/>
      <c r="D156" s="1"/>
      <c r="E156" s="1"/>
      <c r="F156" s="116"/>
      <c r="G156" s="1"/>
      <c r="H156" s="1"/>
      <c r="I156" s="28"/>
      <c r="J156" s="1"/>
      <c r="K156" s="2"/>
      <c r="L156" s="1"/>
      <c r="M156" s="1"/>
      <c r="N156" s="1"/>
      <c r="O156" s="1"/>
      <c r="P156" s="1"/>
      <c r="Q156" s="1"/>
      <c r="R156" s="1"/>
      <c r="S156" s="1"/>
      <c r="T156" s="1"/>
    </row>
    <row r="157" ht="15.75" customHeight="1">
      <c r="A157" s="1"/>
      <c r="B157" s="1"/>
      <c r="C157" s="1"/>
      <c r="D157" s="1"/>
      <c r="E157" s="1"/>
      <c r="F157" s="116"/>
      <c r="G157" s="1"/>
      <c r="H157" s="1"/>
      <c r="I157" s="28"/>
      <c r="J157" s="1"/>
      <c r="K157" s="2"/>
      <c r="L157" s="1"/>
      <c r="M157" s="1"/>
      <c r="N157" s="1"/>
      <c r="O157" s="1"/>
      <c r="P157" s="1"/>
      <c r="Q157" s="1"/>
      <c r="R157" s="1"/>
      <c r="S157" s="1"/>
      <c r="T157" s="1"/>
    </row>
    <row r="158" ht="15.75" customHeight="1">
      <c r="A158" s="1"/>
      <c r="B158" s="1"/>
      <c r="C158" s="1"/>
      <c r="D158" s="1"/>
      <c r="E158" s="1"/>
      <c r="F158" s="116"/>
      <c r="G158" s="1"/>
      <c r="H158" s="1"/>
      <c r="I158" s="28"/>
      <c r="J158" s="1"/>
      <c r="K158" s="2"/>
      <c r="L158" s="1"/>
      <c r="M158" s="1"/>
      <c r="N158" s="1"/>
      <c r="O158" s="1"/>
      <c r="P158" s="1"/>
      <c r="Q158" s="1"/>
      <c r="R158" s="1"/>
      <c r="S158" s="1"/>
      <c r="T158" s="1"/>
    </row>
    <row r="159" ht="15.75" customHeight="1">
      <c r="A159" s="1"/>
      <c r="B159" s="1"/>
      <c r="C159" s="1"/>
      <c r="D159" s="1"/>
      <c r="E159" s="1"/>
      <c r="F159" s="116"/>
      <c r="G159" s="1"/>
      <c r="H159" s="1"/>
      <c r="I159" s="28"/>
      <c r="J159" s="1"/>
      <c r="K159" s="2"/>
      <c r="L159" s="1"/>
      <c r="M159" s="1"/>
      <c r="N159" s="1"/>
      <c r="O159" s="1"/>
      <c r="P159" s="1"/>
      <c r="Q159" s="1"/>
      <c r="R159" s="1"/>
      <c r="S159" s="1"/>
      <c r="T159" s="1"/>
    </row>
    <row r="160" ht="15.75" customHeight="1">
      <c r="A160" s="1"/>
      <c r="B160" s="1"/>
      <c r="C160" s="1"/>
      <c r="D160" s="1"/>
      <c r="E160" s="1"/>
      <c r="F160" s="116"/>
      <c r="G160" s="1"/>
      <c r="H160" s="1"/>
      <c r="I160" s="28"/>
      <c r="J160" s="1"/>
      <c r="K160" s="2"/>
      <c r="L160" s="1"/>
      <c r="M160" s="1"/>
      <c r="N160" s="1"/>
      <c r="O160" s="1"/>
      <c r="P160" s="1"/>
      <c r="Q160" s="1"/>
      <c r="R160" s="1"/>
      <c r="S160" s="1"/>
      <c r="T160" s="1"/>
    </row>
    <row r="161" ht="15.75" customHeight="1">
      <c r="A161" s="1"/>
      <c r="B161" s="1"/>
      <c r="C161" s="1"/>
      <c r="D161" s="1"/>
      <c r="E161" s="1"/>
      <c r="F161" s="116"/>
      <c r="G161" s="1"/>
      <c r="H161" s="1"/>
      <c r="I161" s="28"/>
      <c r="J161" s="1"/>
      <c r="K161" s="2"/>
      <c r="L161" s="1"/>
      <c r="M161" s="1"/>
      <c r="N161" s="1"/>
      <c r="O161" s="1"/>
      <c r="P161" s="1"/>
      <c r="Q161" s="1"/>
      <c r="R161" s="1"/>
      <c r="S161" s="1"/>
      <c r="T161" s="1"/>
    </row>
    <row r="162" ht="15.75" customHeight="1">
      <c r="A162" s="1"/>
      <c r="B162" s="1"/>
      <c r="C162" s="1"/>
      <c r="D162" s="1"/>
      <c r="E162" s="1"/>
      <c r="F162" s="116"/>
      <c r="G162" s="1"/>
      <c r="H162" s="1"/>
      <c r="I162" s="28"/>
      <c r="J162" s="1"/>
      <c r="K162" s="2"/>
      <c r="L162" s="1"/>
      <c r="M162" s="1"/>
      <c r="N162" s="1"/>
      <c r="O162" s="1"/>
      <c r="P162" s="1"/>
      <c r="Q162" s="1"/>
      <c r="R162" s="1"/>
      <c r="S162" s="1"/>
      <c r="T162" s="1"/>
    </row>
    <row r="163" ht="15.75" customHeight="1">
      <c r="A163" s="1"/>
      <c r="B163" s="1"/>
      <c r="C163" s="1"/>
      <c r="D163" s="1"/>
      <c r="E163" s="1"/>
      <c r="F163" s="116"/>
      <c r="G163" s="1"/>
      <c r="H163" s="1"/>
      <c r="I163" s="28"/>
      <c r="J163" s="1"/>
      <c r="K163" s="2"/>
      <c r="L163" s="1"/>
      <c r="M163" s="1"/>
      <c r="N163" s="1"/>
      <c r="O163" s="1"/>
      <c r="P163" s="1"/>
      <c r="Q163" s="1"/>
      <c r="R163" s="1"/>
      <c r="S163" s="1"/>
      <c r="T163" s="1"/>
    </row>
    <row r="164" ht="15.75" customHeight="1">
      <c r="A164" s="1"/>
      <c r="B164" s="1"/>
      <c r="C164" s="1"/>
      <c r="D164" s="1"/>
      <c r="E164" s="1"/>
      <c r="F164" s="116"/>
      <c r="G164" s="1"/>
      <c r="H164" s="1"/>
      <c r="I164" s="28"/>
      <c r="J164" s="1"/>
      <c r="K164" s="2"/>
      <c r="L164" s="1"/>
      <c r="M164" s="1"/>
      <c r="N164" s="1"/>
      <c r="O164" s="1"/>
      <c r="P164" s="1"/>
      <c r="Q164" s="1"/>
      <c r="R164" s="1"/>
      <c r="S164" s="1"/>
      <c r="T164" s="1"/>
    </row>
    <row r="165" ht="15.75" customHeight="1">
      <c r="A165" s="1"/>
      <c r="B165" s="1"/>
      <c r="C165" s="1"/>
      <c r="D165" s="1"/>
      <c r="E165" s="1"/>
      <c r="F165" s="116"/>
      <c r="G165" s="1"/>
      <c r="H165" s="1"/>
      <c r="I165" s="28"/>
      <c r="J165" s="1"/>
      <c r="K165" s="2"/>
      <c r="L165" s="1"/>
      <c r="M165" s="1"/>
      <c r="N165" s="1"/>
      <c r="O165" s="1"/>
      <c r="P165" s="1"/>
      <c r="Q165" s="1"/>
      <c r="R165" s="1"/>
      <c r="S165" s="1"/>
      <c r="T165" s="1"/>
    </row>
    <row r="166" ht="15.75" customHeight="1">
      <c r="A166" s="1"/>
      <c r="B166" s="1"/>
      <c r="C166" s="1"/>
      <c r="D166" s="1"/>
      <c r="E166" s="1"/>
      <c r="F166" s="116"/>
      <c r="G166" s="1"/>
      <c r="H166" s="1"/>
      <c r="I166" s="28"/>
      <c r="J166" s="1"/>
      <c r="K166" s="2"/>
      <c r="L166" s="1"/>
      <c r="M166" s="1"/>
      <c r="N166" s="1"/>
      <c r="O166" s="1"/>
      <c r="P166" s="1"/>
      <c r="Q166" s="1"/>
      <c r="R166" s="1"/>
      <c r="S166" s="1"/>
      <c r="T166" s="1"/>
    </row>
    <row r="167" ht="15.75" customHeight="1">
      <c r="A167" s="1"/>
      <c r="B167" s="1"/>
      <c r="C167" s="1"/>
      <c r="D167" s="1"/>
      <c r="E167" s="1"/>
      <c r="F167" s="116"/>
      <c r="G167" s="1"/>
      <c r="H167" s="1"/>
      <c r="I167" s="28"/>
      <c r="J167" s="1"/>
      <c r="K167" s="2"/>
      <c r="L167" s="1"/>
      <c r="M167" s="1"/>
      <c r="N167" s="1"/>
      <c r="O167" s="1"/>
      <c r="P167" s="1"/>
      <c r="Q167" s="1"/>
      <c r="R167" s="1"/>
      <c r="S167" s="1"/>
      <c r="T167" s="1"/>
    </row>
    <row r="168" ht="15.75" customHeight="1">
      <c r="A168" s="1"/>
      <c r="B168" s="1"/>
      <c r="C168" s="1"/>
      <c r="D168" s="1"/>
      <c r="E168" s="1"/>
      <c r="F168" s="116"/>
      <c r="G168" s="1"/>
      <c r="H168" s="1"/>
      <c r="I168" s="28"/>
      <c r="J168" s="1"/>
      <c r="K168" s="2"/>
      <c r="L168" s="1"/>
      <c r="M168" s="1"/>
      <c r="N168" s="1"/>
      <c r="O168" s="1"/>
      <c r="P168" s="1"/>
      <c r="Q168" s="1"/>
      <c r="R168" s="1"/>
      <c r="S168" s="1"/>
      <c r="T168" s="1"/>
    </row>
    <row r="169" ht="15.75" customHeight="1">
      <c r="A169" s="1"/>
      <c r="B169" s="1"/>
      <c r="C169" s="1"/>
      <c r="D169" s="1"/>
      <c r="E169" s="1"/>
      <c r="F169" s="116"/>
      <c r="G169" s="1"/>
      <c r="H169" s="1"/>
      <c r="I169" s="28"/>
      <c r="J169" s="1"/>
      <c r="K169" s="2"/>
      <c r="L169" s="1"/>
      <c r="M169" s="1"/>
      <c r="N169" s="1"/>
      <c r="O169" s="1"/>
      <c r="P169" s="1"/>
      <c r="Q169" s="1"/>
      <c r="R169" s="1"/>
      <c r="S169" s="1"/>
      <c r="T169" s="1"/>
    </row>
    <row r="170" ht="15.75" customHeight="1">
      <c r="A170" s="1"/>
      <c r="B170" s="1"/>
      <c r="C170" s="1"/>
      <c r="D170" s="1"/>
      <c r="E170" s="1"/>
      <c r="F170" s="116"/>
      <c r="G170" s="1"/>
      <c r="H170" s="1"/>
      <c r="I170" s="28"/>
      <c r="J170" s="1"/>
      <c r="K170" s="2"/>
      <c r="L170" s="1"/>
      <c r="M170" s="1"/>
      <c r="N170" s="1"/>
      <c r="O170" s="1"/>
      <c r="P170" s="1"/>
      <c r="Q170" s="1"/>
      <c r="R170" s="1"/>
      <c r="S170" s="1"/>
      <c r="T170" s="1"/>
    </row>
    <row r="171" ht="15.75" customHeight="1">
      <c r="A171" s="1"/>
      <c r="B171" s="1"/>
      <c r="C171" s="1"/>
      <c r="D171" s="1"/>
      <c r="E171" s="1"/>
      <c r="F171" s="116"/>
      <c r="G171" s="1"/>
      <c r="H171" s="1"/>
      <c r="I171" s="28"/>
      <c r="J171" s="1"/>
      <c r="K171" s="2"/>
      <c r="L171" s="1"/>
      <c r="M171" s="1"/>
      <c r="N171" s="1"/>
      <c r="O171" s="1"/>
      <c r="P171" s="1"/>
      <c r="Q171" s="1"/>
      <c r="R171" s="1"/>
      <c r="S171" s="1"/>
      <c r="T171" s="1"/>
    </row>
    <row r="172" ht="15.75" customHeight="1">
      <c r="A172" s="1"/>
      <c r="B172" s="1"/>
      <c r="C172" s="1"/>
      <c r="D172" s="1"/>
      <c r="E172" s="1"/>
      <c r="F172" s="116"/>
      <c r="G172" s="1"/>
      <c r="H172" s="1"/>
      <c r="I172" s="28"/>
      <c r="J172" s="1"/>
      <c r="K172" s="2"/>
      <c r="L172" s="1"/>
      <c r="M172" s="1"/>
      <c r="N172" s="1"/>
      <c r="O172" s="1"/>
      <c r="P172" s="1"/>
      <c r="Q172" s="1"/>
      <c r="R172" s="1"/>
      <c r="S172" s="1"/>
      <c r="T172" s="1"/>
    </row>
    <row r="173" ht="15.75" customHeight="1">
      <c r="A173" s="1"/>
      <c r="B173" s="1"/>
      <c r="C173" s="1"/>
      <c r="D173" s="1"/>
      <c r="E173" s="1"/>
      <c r="F173" s="116"/>
      <c r="G173" s="1"/>
      <c r="H173" s="1"/>
      <c r="I173" s="28"/>
      <c r="J173" s="1"/>
      <c r="K173" s="2"/>
      <c r="L173" s="1"/>
      <c r="M173" s="1"/>
      <c r="N173" s="1"/>
      <c r="O173" s="1"/>
      <c r="P173" s="1"/>
      <c r="Q173" s="1"/>
      <c r="R173" s="1"/>
      <c r="S173" s="1"/>
      <c r="T173" s="1"/>
    </row>
    <row r="174" ht="15.75" customHeight="1">
      <c r="A174" s="1"/>
      <c r="B174" s="1"/>
      <c r="C174" s="1"/>
      <c r="D174" s="1"/>
      <c r="E174" s="1"/>
      <c r="F174" s="116"/>
      <c r="G174" s="1"/>
      <c r="H174" s="1"/>
      <c r="I174" s="28"/>
      <c r="J174" s="1"/>
      <c r="K174" s="2"/>
      <c r="L174" s="1"/>
      <c r="M174" s="1"/>
      <c r="N174" s="1"/>
      <c r="O174" s="1"/>
      <c r="P174" s="1"/>
      <c r="Q174" s="1"/>
      <c r="R174" s="1"/>
      <c r="S174" s="1"/>
      <c r="T174" s="1"/>
    </row>
    <row r="175" ht="15.75" customHeight="1">
      <c r="A175" s="1"/>
      <c r="B175" s="1"/>
      <c r="C175" s="1"/>
      <c r="D175" s="1"/>
      <c r="E175" s="1"/>
      <c r="F175" s="116"/>
      <c r="G175" s="1"/>
      <c r="H175" s="1"/>
      <c r="I175" s="28"/>
      <c r="J175" s="1"/>
      <c r="K175" s="2"/>
      <c r="L175" s="1"/>
      <c r="M175" s="1"/>
      <c r="N175" s="1"/>
      <c r="O175" s="1"/>
      <c r="P175" s="1"/>
      <c r="Q175" s="1"/>
      <c r="R175" s="1"/>
      <c r="S175" s="1"/>
      <c r="T175" s="1"/>
    </row>
    <row r="176" ht="15.75" customHeight="1">
      <c r="A176" s="1"/>
      <c r="B176" s="1"/>
      <c r="C176" s="1"/>
      <c r="D176" s="1"/>
      <c r="E176" s="1"/>
      <c r="F176" s="116"/>
      <c r="G176" s="1"/>
      <c r="H176" s="1"/>
      <c r="I176" s="28"/>
      <c r="J176" s="1"/>
      <c r="K176" s="2"/>
      <c r="L176" s="1"/>
      <c r="M176" s="1"/>
      <c r="N176" s="1"/>
      <c r="O176" s="1"/>
      <c r="P176" s="1"/>
      <c r="Q176" s="1"/>
      <c r="R176" s="1"/>
      <c r="S176" s="1"/>
      <c r="T176" s="1"/>
    </row>
    <row r="177" ht="15.75" customHeight="1">
      <c r="A177" s="1"/>
      <c r="B177" s="1"/>
      <c r="C177" s="1"/>
      <c r="D177" s="1"/>
      <c r="E177" s="1"/>
      <c r="F177" s="116"/>
      <c r="G177" s="1"/>
      <c r="H177" s="1"/>
      <c r="I177" s="28"/>
      <c r="J177" s="1"/>
      <c r="K177" s="2"/>
      <c r="L177" s="1"/>
      <c r="M177" s="1"/>
      <c r="N177" s="1"/>
      <c r="O177" s="1"/>
      <c r="P177" s="1"/>
      <c r="Q177" s="1"/>
      <c r="R177" s="1"/>
      <c r="S177" s="1"/>
      <c r="T177" s="1"/>
    </row>
    <row r="178" ht="15.75" customHeight="1">
      <c r="A178" s="1"/>
      <c r="B178" s="1"/>
      <c r="C178" s="1"/>
      <c r="D178" s="1"/>
      <c r="E178" s="1"/>
      <c r="F178" s="116"/>
      <c r="G178" s="1"/>
      <c r="H178" s="1"/>
      <c r="I178" s="28"/>
      <c r="J178" s="1"/>
      <c r="K178" s="2"/>
      <c r="L178" s="1"/>
      <c r="M178" s="1"/>
      <c r="N178" s="1"/>
      <c r="O178" s="1"/>
      <c r="P178" s="1"/>
      <c r="Q178" s="1"/>
      <c r="R178" s="1"/>
      <c r="S178" s="1"/>
      <c r="T178" s="1"/>
    </row>
    <row r="179" ht="15.75" customHeight="1">
      <c r="A179" s="1"/>
      <c r="B179" s="1"/>
      <c r="C179" s="1"/>
      <c r="D179" s="1"/>
      <c r="E179" s="1"/>
      <c r="F179" s="116"/>
      <c r="G179" s="1"/>
      <c r="H179" s="1"/>
      <c r="I179" s="28"/>
      <c r="J179" s="1"/>
      <c r="K179" s="2"/>
      <c r="L179" s="1"/>
      <c r="M179" s="1"/>
      <c r="N179" s="1"/>
      <c r="O179" s="1"/>
      <c r="P179" s="1"/>
      <c r="Q179" s="1"/>
      <c r="R179" s="1"/>
      <c r="S179" s="1"/>
      <c r="T179" s="1"/>
    </row>
    <row r="180" ht="15.75" customHeight="1">
      <c r="A180" s="1"/>
      <c r="B180" s="1"/>
      <c r="C180" s="1"/>
      <c r="D180" s="1"/>
      <c r="E180" s="1"/>
      <c r="F180" s="116"/>
      <c r="G180" s="1"/>
      <c r="H180" s="1"/>
      <c r="I180" s="28"/>
      <c r="J180" s="1"/>
      <c r="K180" s="2"/>
      <c r="L180" s="1"/>
      <c r="M180" s="1"/>
      <c r="N180" s="1"/>
      <c r="O180" s="1"/>
      <c r="P180" s="1"/>
      <c r="Q180" s="1"/>
      <c r="R180" s="1"/>
      <c r="S180" s="1"/>
      <c r="T180" s="1"/>
    </row>
    <row r="181" ht="15.75" customHeight="1">
      <c r="A181" s="1"/>
      <c r="B181" s="1"/>
      <c r="C181" s="1"/>
      <c r="D181" s="1"/>
      <c r="E181" s="1"/>
      <c r="F181" s="116"/>
      <c r="G181" s="1"/>
      <c r="H181" s="1"/>
      <c r="I181" s="28"/>
      <c r="J181" s="1"/>
      <c r="K181" s="2"/>
      <c r="L181" s="1"/>
      <c r="M181" s="1"/>
      <c r="N181" s="1"/>
      <c r="O181" s="1"/>
      <c r="P181" s="1"/>
      <c r="Q181" s="1"/>
      <c r="R181" s="1"/>
      <c r="S181" s="1"/>
      <c r="T181" s="1"/>
    </row>
    <row r="182" ht="15.75" customHeight="1">
      <c r="A182" s="1"/>
      <c r="B182" s="1"/>
      <c r="C182" s="1"/>
      <c r="D182" s="1"/>
      <c r="E182" s="1"/>
      <c r="F182" s="116"/>
      <c r="G182" s="1"/>
      <c r="H182" s="1"/>
      <c r="I182" s="28"/>
      <c r="J182" s="1"/>
      <c r="K182" s="2"/>
      <c r="L182" s="1"/>
      <c r="M182" s="1"/>
      <c r="N182" s="1"/>
      <c r="O182" s="1"/>
      <c r="P182" s="1"/>
      <c r="Q182" s="1"/>
      <c r="R182" s="1"/>
      <c r="S182" s="1"/>
      <c r="T182" s="1"/>
    </row>
    <row r="183" ht="15.75" customHeight="1">
      <c r="A183" s="1"/>
      <c r="B183" s="1"/>
      <c r="C183" s="1"/>
      <c r="D183" s="1"/>
      <c r="E183" s="1"/>
      <c r="F183" s="116"/>
      <c r="G183" s="1"/>
      <c r="H183" s="1"/>
      <c r="I183" s="28"/>
      <c r="J183" s="1"/>
      <c r="K183" s="2"/>
      <c r="L183" s="1"/>
      <c r="M183" s="1"/>
      <c r="N183" s="1"/>
      <c r="O183" s="1"/>
      <c r="P183" s="1"/>
      <c r="Q183" s="1"/>
      <c r="R183" s="1"/>
      <c r="S183" s="1"/>
      <c r="T183" s="1"/>
    </row>
    <row r="184" ht="15.75" customHeight="1">
      <c r="A184" s="1"/>
      <c r="B184" s="1"/>
      <c r="C184" s="1"/>
      <c r="D184" s="1"/>
      <c r="E184" s="1"/>
      <c r="F184" s="116"/>
      <c r="G184" s="1"/>
      <c r="H184" s="1"/>
      <c r="I184" s="28"/>
      <c r="J184" s="1"/>
      <c r="K184" s="2"/>
      <c r="L184" s="1"/>
      <c r="M184" s="1"/>
      <c r="N184" s="1"/>
      <c r="O184" s="1"/>
      <c r="P184" s="1"/>
      <c r="Q184" s="1"/>
      <c r="R184" s="1"/>
      <c r="S184" s="1"/>
      <c r="T184" s="1"/>
    </row>
    <row r="185" ht="15.75" customHeight="1">
      <c r="A185" s="1"/>
      <c r="B185" s="1"/>
      <c r="C185" s="1"/>
      <c r="D185" s="1"/>
      <c r="E185" s="1"/>
      <c r="F185" s="116"/>
      <c r="G185" s="1"/>
      <c r="H185" s="1"/>
      <c r="I185" s="28"/>
      <c r="J185" s="1"/>
      <c r="K185" s="2"/>
      <c r="L185" s="1"/>
      <c r="M185" s="1"/>
      <c r="N185" s="1"/>
      <c r="O185" s="1"/>
      <c r="P185" s="1"/>
      <c r="Q185" s="1"/>
      <c r="R185" s="1"/>
      <c r="S185" s="1"/>
      <c r="T185" s="1"/>
    </row>
    <row r="186" ht="15.75" customHeight="1">
      <c r="A186" s="1"/>
      <c r="B186" s="1"/>
      <c r="C186" s="1"/>
      <c r="D186" s="1"/>
      <c r="E186" s="1"/>
      <c r="F186" s="116"/>
      <c r="G186" s="1"/>
      <c r="H186" s="1"/>
      <c r="I186" s="28"/>
      <c r="J186" s="1"/>
      <c r="K186" s="2"/>
      <c r="L186" s="1"/>
      <c r="M186" s="1"/>
      <c r="N186" s="1"/>
      <c r="O186" s="1"/>
      <c r="P186" s="1"/>
      <c r="Q186" s="1"/>
      <c r="R186" s="1"/>
      <c r="S186" s="1"/>
      <c r="T186" s="1"/>
    </row>
    <row r="187" ht="15.75" customHeight="1">
      <c r="A187" s="1"/>
      <c r="B187" s="1"/>
      <c r="C187" s="1"/>
      <c r="D187" s="1"/>
      <c r="E187" s="1"/>
      <c r="F187" s="116"/>
      <c r="G187" s="1"/>
      <c r="H187" s="1"/>
      <c r="I187" s="28"/>
      <c r="J187" s="1"/>
      <c r="K187" s="2"/>
      <c r="L187" s="1"/>
      <c r="M187" s="1"/>
      <c r="N187" s="1"/>
      <c r="O187" s="1"/>
      <c r="P187" s="1"/>
      <c r="Q187" s="1"/>
      <c r="R187" s="1"/>
      <c r="S187" s="1"/>
      <c r="T187" s="1"/>
    </row>
    <row r="188" ht="15.75" customHeight="1">
      <c r="A188" s="1"/>
      <c r="B188" s="1"/>
      <c r="C188" s="1"/>
      <c r="D188" s="1"/>
      <c r="E188" s="1"/>
      <c r="F188" s="116"/>
      <c r="G188" s="1"/>
      <c r="H188" s="1"/>
      <c r="I188" s="28"/>
      <c r="J188" s="1"/>
      <c r="K188" s="2"/>
      <c r="L188" s="1"/>
      <c r="M188" s="1"/>
      <c r="N188" s="1"/>
      <c r="O188" s="1"/>
      <c r="P188" s="1"/>
      <c r="Q188" s="1"/>
      <c r="R188" s="1"/>
      <c r="S188" s="1"/>
      <c r="T188" s="1"/>
    </row>
    <row r="189" ht="15.75" customHeight="1">
      <c r="A189" s="1"/>
      <c r="B189" s="1"/>
      <c r="C189" s="1"/>
      <c r="D189" s="1"/>
      <c r="E189" s="1"/>
      <c r="F189" s="116"/>
      <c r="G189" s="1"/>
      <c r="H189" s="1"/>
      <c r="I189" s="28"/>
      <c r="J189" s="1"/>
      <c r="K189" s="2"/>
      <c r="L189" s="1"/>
      <c r="M189" s="1"/>
      <c r="N189" s="1"/>
      <c r="O189" s="1"/>
      <c r="P189" s="1"/>
      <c r="Q189" s="1"/>
      <c r="R189" s="1"/>
      <c r="S189" s="1"/>
      <c r="T189" s="1"/>
    </row>
    <row r="190" ht="15.75" customHeight="1">
      <c r="A190" s="1"/>
      <c r="B190" s="1"/>
      <c r="C190" s="1"/>
      <c r="D190" s="1"/>
      <c r="E190" s="1"/>
      <c r="F190" s="116"/>
      <c r="G190" s="1"/>
      <c r="H190" s="1"/>
      <c r="I190" s="28"/>
      <c r="J190" s="1"/>
      <c r="K190" s="2"/>
      <c r="L190" s="1"/>
      <c r="M190" s="1"/>
      <c r="N190" s="1"/>
      <c r="O190" s="1"/>
      <c r="P190" s="1"/>
      <c r="Q190" s="1"/>
      <c r="R190" s="1"/>
      <c r="S190" s="1"/>
      <c r="T190" s="1"/>
    </row>
    <row r="191" ht="15.75" customHeight="1">
      <c r="A191" s="1"/>
      <c r="B191" s="1"/>
      <c r="C191" s="1"/>
      <c r="D191" s="1"/>
      <c r="E191" s="1"/>
      <c r="F191" s="116"/>
      <c r="G191" s="1"/>
      <c r="H191" s="1"/>
      <c r="I191" s="28"/>
      <c r="J191" s="1"/>
      <c r="K191" s="2"/>
      <c r="L191" s="1"/>
      <c r="M191" s="1"/>
      <c r="N191" s="1"/>
      <c r="O191" s="1"/>
      <c r="P191" s="1"/>
      <c r="Q191" s="1"/>
      <c r="R191" s="1"/>
      <c r="S191" s="1"/>
      <c r="T191" s="1"/>
    </row>
    <row r="192" ht="15.75" customHeight="1">
      <c r="A192" s="1"/>
      <c r="B192" s="1"/>
      <c r="C192" s="1"/>
      <c r="D192" s="1"/>
      <c r="E192" s="1"/>
      <c r="F192" s="116"/>
      <c r="G192" s="1"/>
      <c r="H192" s="1"/>
      <c r="I192" s="28"/>
      <c r="J192" s="1"/>
      <c r="K192" s="2"/>
      <c r="L192" s="1"/>
      <c r="M192" s="1"/>
      <c r="N192" s="1"/>
      <c r="O192" s="1"/>
      <c r="P192" s="1"/>
      <c r="Q192" s="1"/>
      <c r="R192" s="1"/>
      <c r="S192" s="1"/>
      <c r="T192" s="1"/>
    </row>
    <row r="193" ht="15.75" customHeight="1">
      <c r="A193" s="1"/>
      <c r="B193" s="1"/>
      <c r="C193" s="1"/>
      <c r="D193" s="1"/>
      <c r="E193" s="1"/>
      <c r="F193" s="116"/>
      <c r="G193" s="1"/>
      <c r="H193" s="1"/>
      <c r="I193" s="28"/>
      <c r="J193" s="1"/>
      <c r="K193" s="2"/>
      <c r="L193" s="1"/>
      <c r="M193" s="1"/>
      <c r="N193" s="1"/>
      <c r="O193" s="1"/>
      <c r="P193" s="1"/>
      <c r="Q193" s="1"/>
      <c r="R193" s="1"/>
      <c r="S193" s="1"/>
      <c r="T193" s="1"/>
    </row>
    <row r="194" ht="15.75" customHeight="1">
      <c r="A194" s="1"/>
      <c r="B194" s="1"/>
      <c r="C194" s="1"/>
      <c r="D194" s="1"/>
      <c r="E194" s="1"/>
      <c r="F194" s="116"/>
      <c r="G194" s="1"/>
      <c r="H194" s="1"/>
      <c r="I194" s="28"/>
      <c r="J194" s="1"/>
      <c r="K194" s="2"/>
      <c r="L194" s="1"/>
      <c r="M194" s="1"/>
      <c r="N194" s="1"/>
      <c r="O194" s="1"/>
      <c r="P194" s="1"/>
      <c r="Q194" s="1"/>
      <c r="R194" s="1"/>
      <c r="S194" s="1"/>
      <c r="T194" s="1"/>
    </row>
    <row r="195" ht="15.75" customHeight="1">
      <c r="A195" s="1"/>
      <c r="B195" s="1"/>
      <c r="C195" s="1"/>
      <c r="D195" s="1"/>
      <c r="E195" s="1"/>
      <c r="F195" s="116"/>
      <c r="G195" s="1"/>
      <c r="H195" s="1"/>
      <c r="I195" s="28"/>
      <c r="J195" s="1"/>
      <c r="K195" s="2"/>
      <c r="L195" s="1"/>
      <c r="M195" s="1"/>
      <c r="N195" s="1"/>
      <c r="O195" s="1"/>
      <c r="P195" s="1"/>
      <c r="Q195" s="1"/>
      <c r="R195" s="1"/>
      <c r="S195" s="1"/>
      <c r="T195" s="1"/>
    </row>
    <row r="196" ht="15.75" customHeight="1">
      <c r="A196" s="1"/>
      <c r="B196" s="1"/>
      <c r="C196" s="1"/>
      <c r="D196" s="1"/>
      <c r="E196" s="1"/>
      <c r="F196" s="116"/>
      <c r="G196" s="1"/>
      <c r="H196" s="1"/>
      <c r="I196" s="28"/>
      <c r="J196" s="1"/>
      <c r="K196" s="2"/>
      <c r="L196" s="1"/>
      <c r="M196" s="1"/>
      <c r="N196" s="1"/>
      <c r="O196" s="1"/>
      <c r="P196" s="1"/>
      <c r="Q196" s="1"/>
      <c r="R196" s="1"/>
      <c r="S196" s="1"/>
      <c r="T196" s="1"/>
    </row>
    <row r="197" ht="15.75" customHeight="1">
      <c r="A197" s="1"/>
      <c r="B197" s="1"/>
      <c r="C197" s="1"/>
      <c r="D197" s="1"/>
      <c r="E197" s="1"/>
      <c r="F197" s="116"/>
      <c r="G197" s="1"/>
      <c r="H197" s="1"/>
      <c r="I197" s="28"/>
      <c r="J197" s="1"/>
      <c r="K197" s="2"/>
      <c r="L197" s="1"/>
      <c r="M197" s="1"/>
      <c r="N197" s="1"/>
      <c r="O197" s="1"/>
      <c r="P197" s="1"/>
      <c r="Q197" s="1"/>
      <c r="R197" s="1"/>
      <c r="S197" s="1"/>
      <c r="T197" s="1"/>
    </row>
    <row r="198" ht="15.75" customHeight="1">
      <c r="A198" s="1"/>
      <c r="B198" s="1"/>
      <c r="C198" s="1"/>
      <c r="D198" s="1"/>
      <c r="E198" s="1"/>
      <c r="F198" s="116"/>
      <c r="G198" s="1"/>
      <c r="H198" s="1"/>
      <c r="I198" s="28"/>
      <c r="J198" s="1"/>
      <c r="K198" s="2"/>
      <c r="L198" s="1"/>
      <c r="M198" s="1"/>
      <c r="N198" s="1"/>
      <c r="O198" s="1"/>
      <c r="P198" s="1"/>
      <c r="Q198" s="1"/>
      <c r="R198" s="1"/>
      <c r="S198" s="1"/>
      <c r="T198" s="1"/>
    </row>
    <row r="199" ht="15.75" customHeight="1">
      <c r="A199" s="1"/>
      <c r="B199" s="1"/>
      <c r="C199" s="1"/>
      <c r="D199" s="1"/>
      <c r="E199" s="1"/>
      <c r="F199" s="116"/>
      <c r="G199" s="1"/>
      <c r="H199" s="1"/>
      <c r="I199" s="28"/>
      <c r="J199" s="1"/>
      <c r="K199" s="2"/>
      <c r="L199" s="1"/>
      <c r="M199" s="1"/>
      <c r="N199" s="1"/>
      <c r="O199" s="1"/>
      <c r="P199" s="1"/>
      <c r="Q199" s="1"/>
      <c r="R199" s="1"/>
      <c r="S199" s="1"/>
      <c r="T199" s="1"/>
    </row>
    <row r="200" ht="15.75" customHeight="1">
      <c r="A200" s="1"/>
      <c r="B200" s="1"/>
      <c r="C200" s="1"/>
      <c r="D200" s="1"/>
      <c r="E200" s="1"/>
      <c r="F200" s="116"/>
      <c r="G200" s="1"/>
      <c r="H200" s="1"/>
      <c r="I200" s="28"/>
      <c r="J200" s="1"/>
      <c r="K200" s="2"/>
      <c r="L200" s="1"/>
      <c r="M200" s="1"/>
      <c r="N200" s="1"/>
      <c r="O200" s="1"/>
      <c r="P200" s="1"/>
      <c r="Q200" s="1"/>
      <c r="R200" s="1"/>
      <c r="S200" s="1"/>
      <c r="T200" s="1"/>
    </row>
    <row r="201" ht="15.75" customHeight="1">
      <c r="A201" s="1"/>
      <c r="B201" s="1"/>
      <c r="C201" s="1"/>
      <c r="D201" s="1"/>
      <c r="E201" s="1"/>
      <c r="F201" s="116"/>
      <c r="G201" s="1"/>
      <c r="H201" s="1"/>
      <c r="I201" s="28"/>
      <c r="J201" s="1"/>
      <c r="K201" s="2"/>
      <c r="L201" s="1"/>
      <c r="M201" s="1"/>
      <c r="N201" s="1"/>
      <c r="O201" s="1"/>
      <c r="P201" s="1"/>
      <c r="Q201" s="1"/>
      <c r="R201" s="1"/>
      <c r="S201" s="1"/>
      <c r="T201" s="1"/>
    </row>
    <row r="202" ht="15.75" customHeight="1">
      <c r="A202" s="1"/>
      <c r="B202" s="1"/>
      <c r="C202" s="1"/>
      <c r="D202" s="1"/>
      <c r="E202" s="1"/>
      <c r="F202" s="116"/>
      <c r="G202" s="1"/>
      <c r="H202" s="1"/>
      <c r="I202" s="28"/>
      <c r="J202" s="1"/>
      <c r="K202" s="2"/>
      <c r="L202" s="1"/>
      <c r="M202" s="1"/>
      <c r="N202" s="1"/>
      <c r="O202" s="1"/>
      <c r="P202" s="1"/>
      <c r="Q202" s="1"/>
      <c r="R202" s="1"/>
      <c r="S202" s="1"/>
      <c r="T202" s="1"/>
    </row>
    <row r="203" ht="15.75" customHeight="1">
      <c r="A203" s="1"/>
      <c r="B203" s="1"/>
      <c r="C203" s="1"/>
      <c r="D203" s="1"/>
      <c r="E203" s="1"/>
      <c r="F203" s="116"/>
      <c r="G203" s="1"/>
      <c r="H203" s="1"/>
      <c r="I203" s="28"/>
      <c r="J203" s="1"/>
      <c r="K203" s="2"/>
      <c r="L203" s="1"/>
      <c r="M203" s="1"/>
      <c r="N203" s="1"/>
      <c r="O203" s="1"/>
      <c r="P203" s="1"/>
      <c r="Q203" s="1"/>
      <c r="R203" s="1"/>
      <c r="S203" s="1"/>
      <c r="T203" s="1"/>
    </row>
    <row r="204" ht="15.75" customHeight="1">
      <c r="A204" s="1"/>
      <c r="B204" s="1"/>
      <c r="C204" s="1"/>
      <c r="D204" s="1"/>
      <c r="E204" s="1"/>
      <c r="F204" s="116"/>
      <c r="G204" s="1"/>
      <c r="H204" s="1"/>
      <c r="I204" s="28"/>
      <c r="J204" s="1"/>
      <c r="K204" s="2"/>
      <c r="L204" s="1"/>
      <c r="M204" s="1"/>
      <c r="N204" s="1"/>
      <c r="O204" s="1"/>
      <c r="P204" s="1"/>
      <c r="Q204" s="1"/>
      <c r="R204" s="1"/>
      <c r="S204" s="1"/>
      <c r="T204" s="1"/>
    </row>
    <row r="205" ht="15.75" customHeight="1">
      <c r="A205" s="1"/>
      <c r="B205" s="1"/>
      <c r="C205" s="1"/>
      <c r="D205" s="1"/>
      <c r="E205" s="1"/>
      <c r="F205" s="116"/>
      <c r="G205" s="1"/>
      <c r="H205" s="1"/>
      <c r="I205" s="28"/>
      <c r="J205" s="1"/>
      <c r="K205" s="2"/>
      <c r="L205" s="1"/>
      <c r="M205" s="1"/>
      <c r="N205" s="1"/>
      <c r="O205" s="1"/>
      <c r="P205" s="1"/>
      <c r="Q205" s="1"/>
      <c r="R205" s="1"/>
      <c r="S205" s="1"/>
      <c r="T205" s="1"/>
    </row>
    <row r="206" ht="15.75" customHeight="1">
      <c r="A206" s="1"/>
      <c r="B206" s="1"/>
      <c r="C206" s="1"/>
      <c r="D206" s="1"/>
      <c r="E206" s="1"/>
      <c r="F206" s="116"/>
      <c r="G206" s="1"/>
      <c r="H206" s="1"/>
      <c r="I206" s="28"/>
      <c r="J206" s="1"/>
      <c r="K206" s="2"/>
      <c r="L206" s="1"/>
      <c r="M206" s="1"/>
      <c r="N206" s="1"/>
      <c r="O206" s="1"/>
      <c r="P206" s="1"/>
      <c r="Q206" s="1"/>
      <c r="R206" s="1"/>
      <c r="S206" s="1"/>
      <c r="T206" s="1"/>
    </row>
    <row r="207" ht="15.75" customHeight="1">
      <c r="A207" s="1"/>
      <c r="B207" s="1"/>
      <c r="C207" s="1"/>
      <c r="D207" s="1"/>
      <c r="E207" s="1"/>
      <c r="F207" s="116"/>
      <c r="G207" s="1"/>
      <c r="H207" s="1"/>
      <c r="I207" s="28"/>
      <c r="J207" s="1"/>
      <c r="K207" s="2"/>
      <c r="L207" s="1"/>
      <c r="M207" s="1"/>
      <c r="N207" s="1"/>
      <c r="O207" s="1"/>
      <c r="P207" s="1"/>
      <c r="Q207" s="1"/>
      <c r="R207" s="1"/>
      <c r="S207" s="1"/>
      <c r="T207" s="1"/>
    </row>
    <row r="208" ht="15.75" customHeight="1">
      <c r="A208" s="1"/>
      <c r="B208" s="1"/>
      <c r="C208" s="1"/>
      <c r="D208" s="1"/>
      <c r="E208" s="1"/>
      <c r="F208" s="116"/>
      <c r="G208" s="1"/>
      <c r="H208" s="1"/>
      <c r="I208" s="28"/>
      <c r="J208" s="1"/>
      <c r="K208" s="2"/>
      <c r="L208" s="1"/>
      <c r="M208" s="1"/>
      <c r="N208" s="1"/>
      <c r="O208" s="1"/>
      <c r="P208" s="1"/>
      <c r="Q208" s="1"/>
      <c r="R208" s="1"/>
      <c r="S208" s="1"/>
      <c r="T208" s="1"/>
    </row>
    <row r="209" ht="15.75" customHeight="1">
      <c r="A209" s="1"/>
      <c r="B209" s="1"/>
      <c r="C209" s="1"/>
      <c r="D209" s="1"/>
      <c r="E209" s="1"/>
      <c r="F209" s="116"/>
      <c r="G209" s="1"/>
      <c r="H209" s="1"/>
      <c r="I209" s="28"/>
      <c r="J209" s="1"/>
      <c r="K209" s="2"/>
      <c r="L209" s="1"/>
      <c r="M209" s="1"/>
      <c r="N209" s="1"/>
      <c r="O209" s="1"/>
      <c r="P209" s="1"/>
      <c r="Q209" s="1"/>
      <c r="R209" s="1"/>
      <c r="S209" s="1"/>
      <c r="T209" s="1"/>
    </row>
    <row r="210" ht="15.75" customHeight="1">
      <c r="A210" s="1"/>
      <c r="B210" s="1"/>
      <c r="C210" s="1"/>
      <c r="D210" s="1"/>
      <c r="E210" s="1"/>
      <c r="F210" s="116"/>
      <c r="G210" s="1"/>
      <c r="H210" s="1"/>
      <c r="I210" s="28"/>
      <c r="J210" s="1"/>
      <c r="K210" s="2"/>
      <c r="L210" s="1"/>
      <c r="M210" s="1"/>
      <c r="N210" s="1"/>
      <c r="O210" s="1"/>
      <c r="P210" s="1"/>
      <c r="Q210" s="1"/>
      <c r="R210" s="1"/>
      <c r="S210" s="1"/>
      <c r="T210" s="1"/>
    </row>
    <row r="211" ht="15.75" customHeight="1">
      <c r="A211" s="1"/>
      <c r="B211" s="1"/>
      <c r="C211" s="1"/>
      <c r="D211" s="1"/>
      <c r="E211" s="1"/>
      <c r="F211" s="116"/>
      <c r="G211" s="1"/>
      <c r="H211" s="1"/>
      <c r="I211" s="28"/>
      <c r="J211" s="1"/>
      <c r="K211" s="2"/>
      <c r="L211" s="1"/>
      <c r="M211" s="1"/>
      <c r="N211" s="1"/>
      <c r="O211" s="1"/>
      <c r="P211" s="1"/>
      <c r="Q211" s="1"/>
      <c r="R211" s="1"/>
      <c r="S211" s="1"/>
      <c r="T211" s="1"/>
    </row>
    <row r="212" ht="15.75" customHeight="1">
      <c r="A212" s="1"/>
      <c r="B212" s="1"/>
      <c r="C212" s="1"/>
      <c r="D212" s="1"/>
      <c r="E212" s="1"/>
      <c r="F212" s="116"/>
      <c r="G212" s="1"/>
      <c r="H212" s="1"/>
      <c r="I212" s="28"/>
      <c r="J212" s="1"/>
      <c r="K212" s="2"/>
      <c r="L212" s="1"/>
      <c r="M212" s="1"/>
      <c r="N212" s="1"/>
      <c r="O212" s="1"/>
      <c r="P212" s="1"/>
      <c r="Q212" s="1"/>
      <c r="R212" s="1"/>
      <c r="S212" s="1"/>
      <c r="T212" s="1"/>
    </row>
    <row r="213" ht="15.75" customHeight="1">
      <c r="A213" s="1"/>
      <c r="B213" s="1"/>
      <c r="C213" s="1"/>
      <c r="D213" s="1"/>
      <c r="E213" s="1"/>
      <c r="F213" s="116"/>
      <c r="G213" s="1"/>
      <c r="H213" s="1"/>
      <c r="I213" s="28"/>
      <c r="J213" s="1"/>
      <c r="K213" s="2"/>
      <c r="L213" s="1"/>
      <c r="M213" s="1"/>
      <c r="N213" s="1"/>
      <c r="O213" s="1"/>
      <c r="P213" s="1"/>
      <c r="Q213" s="1"/>
      <c r="R213" s="1"/>
      <c r="S213" s="1"/>
      <c r="T213" s="1"/>
    </row>
    <row r="214" ht="15.75" customHeight="1">
      <c r="A214" s="1"/>
      <c r="B214" s="1"/>
      <c r="C214" s="1"/>
      <c r="D214" s="1"/>
      <c r="E214" s="1"/>
      <c r="F214" s="116"/>
      <c r="G214" s="1"/>
      <c r="H214" s="1"/>
      <c r="I214" s="28"/>
      <c r="J214" s="1"/>
      <c r="K214" s="2"/>
      <c r="L214" s="1"/>
      <c r="M214" s="1"/>
      <c r="N214" s="1"/>
      <c r="O214" s="1"/>
      <c r="P214" s="1"/>
      <c r="Q214" s="1"/>
      <c r="R214" s="1"/>
      <c r="S214" s="1"/>
      <c r="T214" s="1"/>
    </row>
    <row r="215" ht="15.75" customHeight="1">
      <c r="A215" s="1"/>
      <c r="B215" s="1"/>
      <c r="C215" s="1"/>
      <c r="D215" s="1"/>
      <c r="E215" s="1"/>
      <c r="F215" s="116"/>
      <c r="G215" s="1"/>
      <c r="H215" s="1"/>
      <c r="I215" s="28"/>
      <c r="J215" s="1"/>
      <c r="K215" s="2"/>
      <c r="L215" s="1"/>
      <c r="M215" s="1"/>
      <c r="N215" s="1"/>
      <c r="O215" s="1"/>
      <c r="P215" s="1"/>
      <c r="Q215" s="1"/>
      <c r="R215" s="1"/>
      <c r="S215" s="1"/>
      <c r="T215" s="1"/>
    </row>
    <row r="216" ht="15.75" customHeight="1">
      <c r="A216" s="1"/>
      <c r="B216" s="1"/>
      <c r="C216" s="1"/>
      <c r="D216" s="1"/>
      <c r="E216" s="1"/>
      <c r="F216" s="116"/>
      <c r="G216" s="1"/>
      <c r="H216" s="1"/>
      <c r="I216" s="28"/>
      <c r="J216" s="1"/>
      <c r="K216" s="2"/>
      <c r="L216" s="1"/>
      <c r="M216" s="1"/>
      <c r="N216" s="1"/>
      <c r="O216" s="1"/>
      <c r="P216" s="1"/>
      <c r="Q216" s="1"/>
      <c r="R216" s="1"/>
      <c r="S216" s="1"/>
      <c r="T216" s="1"/>
    </row>
    <row r="217" ht="15.75" customHeight="1">
      <c r="A217" s="1"/>
      <c r="B217" s="1"/>
      <c r="C217" s="1"/>
      <c r="D217" s="1"/>
      <c r="E217" s="1"/>
      <c r="F217" s="116"/>
      <c r="G217" s="1"/>
      <c r="H217" s="1"/>
      <c r="I217" s="28"/>
      <c r="J217" s="1"/>
      <c r="K217" s="2"/>
      <c r="L217" s="1"/>
      <c r="M217" s="1"/>
      <c r="N217" s="1"/>
      <c r="O217" s="1"/>
      <c r="P217" s="1"/>
      <c r="Q217" s="1"/>
      <c r="R217" s="1"/>
      <c r="S217" s="1"/>
      <c r="T217" s="1"/>
    </row>
    <row r="218" ht="15.75" customHeight="1">
      <c r="A218" s="1"/>
      <c r="B218" s="1"/>
      <c r="C218" s="1"/>
      <c r="D218" s="1"/>
      <c r="E218" s="1"/>
      <c r="F218" s="116"/>
      <c r="G218" s="1"/>
      <c r="H218" s="1"/>
      <c r="I218" s="28"/>
      <c r="J218" s="1"/>
      <c r="K218" s="2"/>
      <c r="L218" s="1"/>
      <c r="M218" s="1"/>
      <c r="N218" s="1"/>
      <c r="O218" s="1"/>
      <c r="P218" s="1"/>
      <c r="Q218" s="1"/>
      <c r="R218" s="1"/>
      <c r="S218" s="1"/>
      <c r="T218" s="1"/>
    </row>
    <row r="219" ht="15.75" customHeight="1">
      <c r="A219" s="1"/>
      <c r="B219" s="1"/>
      <c r="C219" s="1"/>
      <c r="D219" s="1"/>
      <c r="E219" s="1"/>
      <c r="F219" s="116"/>
      <c r="G219" s="1"/>
      <c r="H219" s="1"/>
      <c r="I219" s="28"/>
      <c r="J219" s="1"/>
      <c r="K219" s="2"/>
      <c r="L219" s="1"/>
      <c r="M219" s="1"/>
      <c r="N219" s="1"/>
      <c r="O219" s="1"/>
      <c r="P219" s="1"/>
      <c r="Q219" s="1"/>
      <c r="R219" s="1"/>
      <c r="S219" s="1"/>
      <c r="T219" s="1"/>
    </row>
    <row r="220" ht="15.75" customHeight="1">
      <c r="A220" s="1"/>
      <c r="B220" s="1"/>
      <c r="C220" s="1"/>
      <c r="D220" s="1"/>
      <c r="E220" s="1"/>
      <c r="F220" s="116"/>
      <c r="G220" s="1"/>
      <c r="H220" s="1"/>
      <c r="I220" s="28"/>
      <c r="J220" s="1"/>
      <c r="K220" s="2"/>
      <c r="L220" s="1"/>
      <c r="M220" s="1"/>
      <c r="N220" s="1"/>
      <c r="O220" s="1"/>
      <c r="P220" s="1"/>
      <c r="Q220" s="1"/>
      <c r="R220" s="1"/>
      <c r="S220" s="1"/>
      <c r="T220" s="1"/>
    </row>
    <row r="221" ht="15.75" customHeight="1">
      <c r="A221" s="1"/>
      <c r="B221" s="1"/>
      <c r="C221" s="1"/>
      <c r="D221" s="1"/>
      <c r="E221" s="1"/>
      <c r="F221" s="116"/>
      <c r="G221" s="1"/>
      <c r="H221" s="1"/>
      <c r="I221" s="28"/>
      <c r="J221" s="1"/>
      <c r="K221" s="2"/>
      <c r="L221" s="1"/>
      <c r="M221" s="1"/>
      <c r="N221" s="1"/>
      <c r="O221" s="1"/>
      <c r="P221" s="1"/>
      <c r="Q221" s="1"/>
      <c r="R221" s="1"/>
      <c r="S221" s="1"/>
      <c r="T221" s="1"/>
    </row>
    <row r="222" ht="15.75" customHeight="1">
      <c r="A222" s="1"/>
      <c r="B222" s="1"/>
      <c r="C222" s="1"/>
      <c r="D222" s="1"/>
      <c r="E222" s="1"/>
      <c r="F222" s="116"/>
      <c r="G222" s="1"/>
      <c r="H222" s="1"/>
      <c r="I222" s="28"/>
      <c r="J222" s="1"/>
      <c r="K222" s="2"/>
      <c r="L222" s="1"/>
      <c r="M222" s="1"/>
      <c r="N222" s="1"/>
      <c r="O222" s="1"/>
      <c r="P222" s="1"/>
      <c r="Q222" s="1"/>
      <c r="R222" s="1"/>
      <c r="S222" s="1"/>
      <c r="T222" s="1"/>
    </row>
    <row r="223" ht="15.75" customHeight="1">
      <c r="A223" s="1"/>
      <c r="B223" s="1"/>
      <c r="C223" s="1"/>
      <c r="D223" s="1"/>
      <c r="E223" s="1"/>
      <c r="F223" s="116"/>
      <c r="G223" s="1"/>
      <c r="H223" s="1"/>
      <c r="I223" s="28"/>
      <c r="J223" s="1"/>
      <c r="K223" s="2"/>
      <c r="L223" s="1"/>
      <c r="M223" s="1"/>
      <c r="N223" s="1"/>
      <c r="O223" s="1"/>
      <c r="P223" s="1"/>
      <c r="Q223" s="1"/>
      <c r="R223" s="1"/>
      <c r="S223" s="1"/>
      <c r="T223" s="1"/>
    </row>
    <row r="224" ht="15.75" customHeight="1">
      <c r="A224" s="1"/>
      <c r="B224" s="1"/>
      <c r="C224" s="1"/>
      <c r="D224" s="1"/>
      <c r="E224" s="1"/>
      <c r="F224" s="116"/>
      <c r="G224" s="1"/>
      <c r="H224" s="1"/>
      <c r="I224" s="28"/>
      <c r="J224" s="1"/>
      <c r="K224" s="2"/>
      <c r="L224" s="1"/>
      <c r="M224" s="1"/>
      <c r="N224" s="1"/>
      <c r="O224" s="1"/>
      <c r="P224" s="1"/>
      <c r="Q224" s="1"/>
      <c r="R224" s="1"/>
      <c r="S224" s="1"/>
      <c r="T224" s="1"/>
    </row>
    <row r="225" ht="15.75" customHeight="1">
      <c r="A225" s="1"/>
      <c r="B225" s="1"/>
      <c r="C225" s="1"/>
      <c r="D225" s="1"/>
      <c r="E225" s="1"/>
      <c r="F225" s="116"/>
      <c r="G225" s="1"/>
      <c r="H225" s="1"/>
      <c r="I225" s="28"/>
      <c r="J225" s="1"/>
      <c r="K225" s="2"/>
      <c r="L225" s="1"/>
      <c r="M225" s="1"/>
      <c r="N225" s="1"/>
      <c r="O225" s="1"/>
      <c r="P225" s="1"/>
      <c r="Q225" s="1"/>
      <c r="R225" s="1"/>
      <c r="S225" s="1"/>
      <c r="T225" s="1"/>
    </row>
    <row r="226" ht="15.75" customHeight="1">
      <c r="A226" s="1"/>
      <c r="B226" s="1"/>
      <c r="C226" s="1"/>
      <c r="D226" s="1"/>
      <c r="E226" s="1"/>
      <c r="F226" s="116"/>
      <c r="G226" s="1"/>
      <c r="H226" s="1"/>
      <c r="I226" s="28"/>
      <c r="J226" s="1"/>
      <c r="K226" s="2"/>
      <c r="L226" s="1"/>
      <c r="M226" s="1"/>
      <c r="N226" s="1"/>
      <c r="O226" s="1"/>
      <c r="P226" s="1"/>
      <c r="Q226" s="1"/>
      <c r="R226" s="1"/>
      <c r="S226" s="1"/>
      <c r="T226" s="1"/>
    </row>
    <row r="227" ht="15.75" customHeight="1">
      <c r="A227" s="1"/>
      <c r="B227" s="1"/>
      <c r="C227" s="1"/>
      <c r="D227" s="1"/>
      <c r="E227" s="1"/>
      <c r="F227" s="116"/>
      <c r="G227" s="1"/>
      <c r="H227" s="1"/>
      <c r="I227" s="28"/>
      <c r="J227" s="1"/>
      <c r="K227" s="2"/>
      <c r="L227" s="1"/>
      <c r="M227" s="1"/>
      <c r="N227" s="1"/>
      <c r="O227" s="1"/>
      <c r="P227" s="1"/>
      <c r="Q227" s="1"/>
      <c r="R227" s="1"/>
      <c r="S227" s="1"/>
      <c r="T227" s="1"/>
    </row>
    <row r="228" ht="15.75" customHeight="1">
      <c r="A228" s="1"/>
      <c r="B228" s="1"/>
      <c r="C228" s="1"/>
      <c r="D228" s="1"/>
      <c r="E228" s="1"/>
      <c r="F228" s="116"/>
      <c r="G228" s="1"/>
      <c r="H228" s="1"/>
      <c r="I228" s="28"/>
      <c r="J228" s="1"/>
      <c r="K228" s="2"/>
      <c r="L228" s="1"/>
      <c r="M228" s="1"/>
      <c r="N228" s="1"/>
      <c r="O228" s="1"/>
      <c r="P228" s="1"/>
      <c r="Q228" s="1"/>
      <c r="R228" s="1"/>
      <c r="S228" s="1"/>
      <c r="T228" s="1"/>
    </row>
    <row r="229" ht="15.75" customHeight="1">
      <c r="A229" s="1"/>
      <c r="B229" s="1"/>
      <c r="C229" s="1"/>
      <c r="D229" s="1"/>
      <c r="E229" s="1"/>
      <c r="F229" s="116"/>
      <c r="G229" s="1"/>
      <c r="H229" s="1"/>
      <c r="I229" s="28"/>
      <c r="J229" s="1"/>
      <c r="K229" s="2"/>
      <c r="L229" s="1"/>
      <c r="M229" s="1"/>
      <c r="N229" s="1"/>
      <c r="O229" s="1"/>
      <c r="P229" s="1"/>
      <c r="Q229" s="1"/>
      <c r="R229" s="1"/>
      <c r="S229" s="1"/>
      <c r="T229" s="1"/>
    </row>
    <row r="230" ht="15.75" customHeight="1">
      <c r="A230" s="1"/>
      <c r="B230" s="1"/>
      <c r="C230" s="1"/>
      <c r="D230" s="1"/>
      <c r="E230" s="1"/>
      <c r="F230" s="116"/>
      <c r="G230" s="1"/>
      <c r="H230" s="1"/>
      <c r="I230" s="28"/>
      <c r="J230" s="1"/>
      <c r="K230" s="2"/>
      <c r="L230" s="1"/>
      <c r="M230" s="1"/>
      <c r="N230" s="1"/>
      <c r="O230" s="1"/>
      <c r="P230" s="1"/>
      <c r="Q230" s="1"/>
      <c r="R230" s="1"/>
      <c r="S230" s="1"/>
      <c r="T230" s="1"/>
    </row>
    <row r="231" ht="15.75" customHeight="1">
      <c r="A231" s="1"/>
      <c r="B231" s="1"/>
      <c r="C231" s="1"/>
      <c r="D231" s="1"/>
      <c r="E231" s="1"/>
      <c r="F231" s="116"/>
      <c r="G231" s="1"/>
      <c r="H231" s="1"/>
      <c r="I231" s="28"/>
      <c r="J231" s="1"/>
      <c r="K231" s="2"/>
      <c r="L231" s="1"/>
      <c r="M231" s="1"/>
      <c r="N231" s="1"/>
      <c r="O231" s="1"/>
      <c r="P231" s="1"/>
      <c r="Q231" s="1"/>
      <c r="R231" s="1"/>
      <c r="S231" s="1"/>
      <c r="T231" s="1"/>
    </row>
    <row r="232" ht="15.75" customHeight="1">
      <c r="A232" s="1"/>
      <c r="B232" s="1"/>
      <c r="C232" s="1"/>
      <c r="D232" s="1"/>
      <c r="E232" s="1"/>
      <c r="F232" s="116"/>
      <c r="G232" s="1"/>
      <c r="H232" s="1"/>
      <c r="I232" s="28"/>
      <c r="J232" s="1"/>
      <c r="K232" s="2"/>
      <c r="L232" s="1"/>
      <c r="M232" s="1"/>
      <c r="N232" s="1"/>
      <c r="O232" s="1"/>
      <c r="P232" s="1"/>
      <c r="Q232" s="1"/>
      <c r="R232" s="1"/>
      <c r="S232" s="1"/>
      <c r="T232" s="1"/>
    </row>
    <row r="233" ht="15.75" customHeight="1">
      <c r="A233" s="1"/>
      <c r="B233" s="1"/>
      <c r="C233" s="1"/>
      <c r="D233" s="1"/>
      <c r="E233" s="1"/>
      <c r="F233" s="116"/>
      <c r="G233" s="1"/>
      <c r="H233" s="1"/>
      <c r="I233" s="28"/>
      <c r="J233" s="1"/>
      <c r="K233" s="2"/>
      <c r="L233" s="1"/>
      <c r="M233" s="1"/>
      <c r="N233" s="1"/>
      <c r="O233" s="1"/>
      <c r="P233" s="1"/>
      <c r="Q233" s="1"/>
      <c r="R233" s="1"/>
      <c r="S233" s="1"/>
      <c r="T233" s="1"/>
    </row>
    <row r="234" ht="15.75" customHeight="1">
      <c r="A234" s="1"/>
      <c r="B234" s="1"/>
      <c r="C234" s="1"/>
      <c r="D234" s="1"/>
      <c r="E234" s="1"/>
      <c r="F234" s="116"/>
      <c r="G234" s="1"/>
      <c r="H234" s="1"/>
      <c r="I234" s="28"/>
      <c r="J234" s="1"/>
      <c r="K234" s="2"/>
      <c r="L234" s="1"/>
      <c r="M234" s="1"/>
      <c r="N234" s="1"/>
      <c r="O234" s="1"/>
      <c r="P234" s="1"/>
      <c r="Q234" s="1"/>
      <c r="R234" s="1"/>
      <c r="S234" s="1"/>
      <c r="T234" s="1"/>
    </row>
    <row r="235" ht="15.75" customHeight="1">
      <c r="A235" s="1"/>
      <c r="B235" s="1"/>
      <c r="C235" s="1"/>
      <c r="D235" s="1"/>
      <c r="E235" s="1"/>
      <c r="F235" s="116"/>
      <c r="G235" s="1"/>
      <c r="H235" s="1"/>
      <c r="I235" s="28"/>
      <c r="J235" s="1"/>
      <c r="K235" s="2"/>
      <c r="L235" s="1"/>
      <c r="M235" s="1"/>
      <c r="N235" s="1"/>
      <c r="O235" s="1"/>
      <c r="P235" s="1"/>
      <c r="Q235" s="1"/>
      <c r="R235" s="1"/>
      <c r="S235" s="1"/>
      <c r="T235" s="1"/>
    </row>
    <row r="236" ht="15.75" customHeight="1">
      <c r="A236" s="1"/>
      <c r="B236" s="1"/>
      <c r="C236" s="1"/>
      <c r="D236" s="1"/>
      <c r="E236" s="1"/>
      <c r="F236" s="116"/>
      <c r="G236" s="1"/>
      <c r="H236" s="1"/>
      <c r="I236" s="28"/>
      <c r="J236" s="1"/>
      <c r="K236" s="2"/>
      <c r="L236" s="1"/>
      <c r="M236" s="1"/>
      <c r="N236" s="1"/>
      <c r="O236" s="1"/>
      <c r="P236" s="1"/>
      <c r="Q236" s="1"/>
      <c r="R236" s="1"/>
      <c r="S236" s="1"/>
      <c r="T236" s="1"/>
    </row>
    <row r="237" ht="15.75" customHeight="1">
      <c r="A237" s="1"/>
      <c r="B237" s="1"/>
      <c r="C237" s="1"/>
      <c r="D237" s="1"/>
      <c r="E237" s="1"/>
      <c r="F237" s="116"/>
      <c r="G237" s="1"/>
      <c r="H237" s="1"/>
      <c r="I237" s="28"/>
      <c r="J237" s="1"/>
      <c r="K237" s="2"/>
      <c r="L237" s="1"/>
      <c r="M237" s="1"/>
      <c r="N237" s="1"/>
      <c r="O237" s="1"/>
      <c r="P237" s="1"/>
      <c r="Q237" s="1"/>
      <c r="R237" s="1"/>
      <c r="S237" s="1"/>
      <c r="T237" s="1"/>
    </row>
    <row r="238" ht="15.75" customHeight="1">
      <c r="A238" s="1"/>
      <c r="B238" s="1"/>
      <c r="C238" s="1"/>
      <c r="D238" s="1"/>
      <c r="E238" s="1"/>
      <c r="F238" s="116"/>
      <c r="G238" s="1"/>
      <c r="H238" s="1"/>
      <c r="I238" s="28"/>
      <c r="J238" s="1"/>
      <c r="K238" s="2"/>
      <c r="L238" s="1"/>
      <c r="M238" s="1"/>
      <c r="N238" s="1"/>
      <c r="O238" s="1"/>
      <c r="P238" s="1"/>
      <c r="Q238" s="1"/>
      <c r="R238" s="1"/>
      <c r="S238" s="1"/>
      <c r="T238" s="1"/>
    </row>
    <row r="239" ht="15.75" customHeight="1">
      <c r="A239" s="1"/>
      <c r="B239" s="1"/>
      <c r="C239" s="1"/>
      <c r="D239" s="1"/>
      <c r="E239" s="1"/>
      <c r="F239" s="116"/>
      <c r="G239" s="1"/>
      <c r="H239" s="1"/>
      <c r="I239" s="28"/>
      <c r="J239" s="1"/>
      <c r="K239" s="2"/>
      <c r="L239" s="1"/>
      <c r="M239" s="1"/>
      <c r="N239" s="1"/>
      <c r="O239" s="1"/>
      <c r="P239" s="1"/>
      <c r="Q239" s="1"/>
      <c r="R239" s="1"/>
      <c r="S239" s="1"/>
      <c r="T239" s="1"/>
    </row>
    <row r="240" ht="15.75" customHeight="1">
      <c r="A240" s="1"/>
      <c r="B240" s="1"/>
      <c r="C240" s="1"/>
      <c r="D240" s="1"/>
      <c r="E240" s="1"/>
      <c r="F240" s="116"/>
      <c r="G240" s="1"/>
      <c r="H240" s="1"/>
      <c r="I240" s="28"/>
      <c r="J240" s="1"/>
      <c r="K240" s="2"/>
      <c r="L240" s="1"/>
      <c r="M240" s="1"/>
      <c r="N240" s="1"/>
      <c r="O240" s="1"/>
      <c r="P240" s="1"/>
      <c r="Q240" s="1"/>
      <c r="R240" s="1"/>
      <c r="S240" s="1"/>
      <c r="T240" s="1"/>
    </row>
    <row r="241" ht="15.75" customHeight="1">
      <c r="A241" s="1"/>
      <c r="B241" s="1"/>
      <c r="C241" s="1"/>
      <c r="D241" s="1"/>
      <c r="E241" s="1"/>
      <c r="F241" s="116"/>
      <c r="G241" s="1"/>
      <c r="H241" s="1"/>
      <c r="I241" s="28"/>
      <c r="J241" s="1"/>
      <c r="K241" s="2"/>
      <c r="L241" s="1"/>
      <c r="M241" s="1"/>
      <c r="N241" s="1"/>
      <c r="O241" s="1"/>
      <c r="P241" s="1"/>
      <c r="Q241" s="1"/>
      <c r="R241" s="1"/>
      <c r="S241" s="1"/>
      <c r="T241" s="1"/>
    </row>
    <row r="242" ht="15.75" customHeight="1">
      <c r="A242" s="1"/>
      <c r="B242" s="1"/>
      <c r="C242" s="1"/>
      <c r="D242" s="1"/>
      <c r="E242" s="1"/>
      <c r="F242" s="116"/>
      <c r="G242" s="1"/>
      <c r="H242" s="1"/>
      <c r="I242" s="28"/>
      <c r="J242" s="1"/>
      <c r="K242" s="2"/>
      <c r="L242" s="1"/>
      <c r="M242" s="1"/>
      <c r="N242" s="1"/>
      <c r="O242" s="1"/>
      <c r="P242" s="1"/>
      <c r="Q242" s="1"/>
      <c r="R242" s="1"/>
      <c r="S242" s="1"/>
      <c r="T242" s="1"/>
    </row>
    <row r="243" ht="15.75" customHeight="1">
      <c r="A243" s="1"/>
      <c r="B243" s="1"/>
      <c r="C243" s="1"/>
      <c r="D243" s="1"/>
      <c r="E243" s="1"/>
      <c r="F243" s="116"/>
      <c r="G243" s="1"/>
      <c r="H243" s="1"/>
      <c r="I243" s="28"/>
      <c r="J243" s="1"/>
      <c r="K243" s="2"/>
      <c r="L243" s="1"/>
      <c r="M243" s="1"/>
      <c r="N243" s="1"/>
      <c r="O243" s="1"/>
      <c r="P243" s="1"/>
      <c r="Q243" s="1"/>
      <c r="R243" s="1"/>
      <c r="S243" s="1"/>
      <c r="T243" s="1"/>
    </row>
    <row r="244" ht="15.75" customHeight="1">
      <c r="A244" s="1"/>
      <c r="B244" s="1"/>
      <c r="C244" s="1"/>
      <c r="D244" s="1"/>
      <c r="E244" s="1"/>
      <c r="F244" s="116"/>
      <c r="G244" s="1"/>
      <c r="H244" s="1"/>
      <c r="I244" s="28"/>
      <c r="J244" s="1"/>
      <c r="K244" s="2"/>
      <c r="L244" s="1"/>
      <c r="M244" s="1"/>
      <c r="N244" s="1"/>
      <c r="O244" s="1"/>
      <c r="P244" s="1"/>
      <c r="Q244" s="1"/>
      <c r="R244" s="1"/>
      <c r="S244" s="1"/>
      <c r="T244" s="1"/>
    </row>
    <row r="245" ht="15.75" customHeight="1">
      <c r="A245" s="1"/>
      <c r="B245" s="1"/>
      <c r="C245" s="1"/>
      <c r="D245" s="1"/>
      <c r="E245" s="1"/>
      <c r="F245" s="116"/>
      <c r="G245" s="1"/>
      <c r="H245" s="1"/>
      <c r="I245" s="28"/>
      <c r="J245" s="1"/>
      <c r="K245" s="2"/>
      <c r="L245" s="1"/>
      <c r="M245" s="1"/>
      <c r="N245" s="1"/>
      <c r="O245" s="1"/>
      <c r="P245" s="1"/>
      <c r="Q245" s="1"/>
      <c r="R245" s="1"/>
      <c r="S245" s="1"/>
      <c r="T245" s="1"/>
    </row>
    <row r="246" ht="15.75" customHeight="1">
      <c r="A246" s="1"/>
      <c r="B246" s="1"/>
      <c r="C246" s="1"/>
      <c r="D246" s="1"/>
      <c r="E246" s="1"/>
      <c r="F246" s="116"/>
      <c r="G246" s="1"/>
      <c r="H246" s="1"/>
      <c r="I246" s="28"/>
      <c r="J246" s="1"/>
      <c r="K246" s="2"/>
      <c r="L246" s="1"/>
      <c r="M246" s="1"/>
      <c r="N246" s="1"/>
      <c r="O246" s="1"/>
      <c r="P246" s="1"/>
      <c r="Q246" s="1"/>
      <c r="R246" s="1"/>
      <c r="S246" s="1"/>
      <c r="T246" s="1"/>
    </row>
    <row r="247" ht="15.75" customHeight="1">
      <c r="A247" s="1"/>
      <c r="B247" s="1"/>
      <c r="C247" s="1"/>
      <c r="D247" s="1"/>
      <c r="E247" s="1"/>
      <c r="F247" s="116"/>
      <c r="G247" s="1"/>
      <c r="H247" s="1"/>
      <c r="I247" s="28"/>
      <c r="J247" s="1"/>
      <c r="K247" s="2"/>
      <c r="L247" s="1"/>
      <c r="M247" s="1"/>
      <c r="N247" s="1"/>
      <c r="O247" s="1"/>
      <c r="P247" s="1"/>
      <c r="Q247" s="1"/>
      <c r="R247" s="1"/>
      <c r="S247" s="1"/>
      <c r="T247" s="1"/>
    </row>
    <row r="248" ht="15.75" customHeight="1">
      <c r="A248" s="1"/>
      <c r="B248" s="1"/>
      <c r="C248" s="1"/>
      <c r="D248" s="1"/>
      <c r="E248" s="1"/>
      <c r="F248" s="116"/>
      <c r="G248" s="1"/>
      <c r="H248" s="1"/>
      <c r="I248" s="28"/>
      <c r="J248" s="1"/>
      <c r="K248" s="2"/>
      <c r="L248" s="1"/>
      <c r="M248" s="1"/>
      <c r="N248" s="1"/>
      <c r="O248" s="1"/>
      <c r="P248" s="1"/>
      <c r="Q248" s="1"/>
      <c r="R248" s="1"/>
      <c r="S248" s="1"/>
      <c r="T248" s="1"/>
    </row>
    <row r="249" ht="15.75" customHeight="1">
      <c r="A249" s="1"/>
      <c r="B249" s="1"/>
      <c r="C249" s="1"/>
      <c r="D249" s="1"/>
      <c r="E249" s="1"/>
      <c r="F249" s="116"/>
      <c r="G249" s="1"/>
      <c r="H249" s="1"/>
      <c r="I249" s="28"/>
      <c r="J249" s="1"/>
      <c r="K249" s="2"/>
      <c r="L249" s="1"/>
      <c r="M249" s="1"/>
      <c r="N249" s="1"/>
      <c r="O249" s="1"/>
      <c r="P249" s="1"/>
      <c r="Q249" s="1"/>
      <c r="R249" s="1"/>
      <c r="S249" s="1"/>
      <c r="T249" s="1"/>
    </row>
    <row r="250" ht="15.75" customHeight="1">
      <c r="A250" s="1"/>
      <c r="B250" s="1"/>
      <c r="C250" s="1"/>
      <c r="D250" s="1"/>
      <c r="E250" s="1"/>
      <c r="F250" s="116"/>
      <c r="G250" s="1"/>
      <c r="H250" s="1"/>
      <c r="I250" s="28"/>
      <c r="J250" s="1"/>
      <c r="K250" s="2"/>
      <c r="L250" s="1"/>
      <c r="M250" s="1"/>
      <c r="N250" s="1"/>
      <c r="O250" s="1"/>
      <c r="P250" s="1"/>
      <c r="Q250" s="1"/>
      <c r="R250" s="1"/>
      <c r="S250" s="1"/>
      <c r="T250" s="1"/>
    </row>
    <row r="251" ht="15.75" customHeight="1">
      <c r="A251" s="1"/>
      <c r="B251" s="1"/>
      <c r="C251" s="1"/>
      <c r="D251" s="1"/>
      <c r="E251" s="1"/>
      <c r="F251" s="116"/>
      <c r="G251" s="1"/>
      <c r="H251" s="1"/>
      <c r="I251" s="28"/>
      <c r="J251" s="1"/>
      <c r="K251" s="2"/>
      <c r="L251" s="1"/>
      <c r="M251" s="1"/>
      <c r="N251" s="1"/>
      <c r="O251" s="1"/>
      <c r="P251" s="1"/>
      <c r="Q251" s="1"/>
      <c r="R251" s="1"/>
      <c r="S251" s="1"/>
      <c r="T251" s="1"/>
    </row>
    <row r="252" ht="15.75" customHeight="1">
      <c r="A252" s="1"/>
      <c r="B252" s="1"/>
      <c r="C252" s="1"/>
      <c r="D252" s="1"/>
      <c r="E252" s="1"/>
      <c r="F252" s="116"/>
      <c r="G252" s="1"/>
      <c r="H252" s="1"/>
      <c r="I252" s="28"/>
      <c r="J252" s="1"/>
      <c r="K252" s="2"/>
      <c r="L252" s="1"/>
      <c r="M252" s="1"/>
      <c r="N252" s="1"/>
      <c r="O252" s="1"/>
      <c r="P252" s="1"/>
      <c r="Q252" s="1"/>
      <c r="R252" s="1"/>
      <c r="S252" s="1"/>
      <c r="T252" s="1"/>
    </row>
    <row r="253" ht="15.75" customHeight="1">
      <c r="A253" s="1"/>
      <c r="B253" s="1"/>
      <c r="C253" s="1"/>
      <c r="D253" s="1"/>
      <c r="E253" s="1"/>
      <c r="F253" s="116"/>
      <c r="G253" s="1"/>
      <c r="H253" s="1"/>
      <c r="I253" s="28"/>
      <c r="J253" s="1"/>
      <c r="K253" s="2"/>
      <c r="L253" s="1"/>
      <c r="M253" s="1"/>
      <c r="N253" s="1"/>
      <c r="O253" s="1"/>
      <c r="P253" s="1"/>
      <c r="Q253" s="1"/>
      <c r="R253" s="1"/>
      <c r="S253" s="1"/>
      <c r="T253" s="1"/>
    </row>
    <row r="254" ht="15.75" customHeight="1">
      <c r="A254" s="1"/>
      <c r="B254" s="1"/>
      <c r="C254" s="1"/>
      <c r="D254" s="1"/>
      <c r="E254" s="1"/>
      <c r="F254" s="116"/>
      <c r="G254" s="1"/>
      <c r="H254" s="1"/>
      <c r="I254" s="28"/>
      <c r="J254" s="1"/>
      <c r="K254" s="2"/>
      <c r="L254" s="1"/>
      <c r="M254" s="1"/>
      <c r="N254" s="1"/>
      <c r="O254" s="1"/>
      <c r="P254" s="1"/>
      <c r="Q254" s="1"/>
      <c r="R254" s="1"/>
      <c r="S254" s="1"/>
      <c r="T254" s="1"/>
    </row>
    <row r="255" ht="15.75" customHeight="1">
      <c r="A255" s="1"/>
      <c r="B255" s="1"/>
      <c r="C255" s="1"/>
      <c r="D255" s="1"/>
      <c r="E255" s="1"/>
      <c r="F255" s="116"/>
      <c r="G255" s="1"/>
      <c r="H255" s="1"/>
      <c r="I255" s="28"/>
      <c r="J255" s="1"/>
      <c r="K255" s="2"/>
      <c r="L255" s="1"/>
      <c r="M255" s="1"/>
      <c r="N255" s="1"/>
      <c r="O255" s="1"/>
      <c r="P255" s="1"/>
      <c r="Q255" s="1"/>
      <c r="R255" s="1"/>
      <c r="S255" s="1"/>
      <c r="T255" s="1"/>
    </row>
    <row r="256" ht="15.75" customHeight="1">
      <c r="A256" s="1"/>
      <c r="B256" s="1"/>
      <c r="C256" s="1"/>
      <c r="D256" s="1"/>
      <c r="E256" s="1"/>
      <c r="F256" s="116"/>
      <c r="G256" s="1"/>
      <c r="H256" s="1"/>
      <c r="I256" s="28"/>
      <c r="J256" s="1"/>
      <c r="K256" s="2"/>
      <c r="L256" s="1"/>
      <c r="M256" s="1"/>
      <c r="N256" s="1"/>
      <c r="O256" s="1"/>
      <c r="P256" s="1"/>
      <c r="Q256" s="1"/>
      <c r="R256" s="1"/>
      <c r="S256" s="1"/>
      <c r="T256" s="1"/>
    </row>
    <row r="257" ht="15.75" customHeight="1">
      <c r="A257" s="1"/>
      <c r="B257" s="1"/>
      <c r="C257" s="1"/>
      <c r="D257" s="1"/>
      <c r="E257" s="1"/>
      <c r="F257" s="116"/>
      <c r="G257" s="1"/>
      <c r="H257" s="1"/>
      <c r="I257" s="28"/>
      <c r="J257" s="1"/>
      <c r="K257" s="2"/>
      <c r="L257" s="1"/>
      <c r="M257" s="1"/>
      <c r="N257" s="1"/>
      <c r="O257" s="1"/>
      <c r="P257" s="1"/>
      <c r="Q257" s="1"/>
      <c r="R257" s="1"/>
      <c r="S257" s="1"/>
      <c r="T257" s="1"/>
    </row>
    <row r="258" ht="15.75" customHeight="1">
      <c r="A258" s="1"/>
      <c r="B258" s="1"/>
      <c r="C258" s="1"/>
      <c r="D258" s="1"/>
      <c r="E258" s="1"/>
      <c r="F258" s="116"/>
      <c r="G258" s="1"/>
      <c r="H258" s="1"/>
      <c r="I258" s="28"/>
      <c r="J258" s="1"/>
      <c r="K258" s="2"/>
      <c r="L258" s="1"/>
      <c r="M258" s="1"/>
      <c r="N258" s="1"/>
      <c r="O258" s="1"/>
      <c r="P258" s="1"/>
      <c r="Q258" s="1"/>
      <c r="R258" s="1"/>
      <c r="S258" s="1"/>
      <c r="T258" s="1"/>
    </row>
    <row r="259" ht="15.75" customHeight="1">
      <c r="A259" s="1"/>
      <c r="B259" s="1"/>
      <c r="C259" s="1"/>
      <c r="D259" s="1"/>
      <c r="E259" s="1"/>
      <c r="F259" s="116"/>
      <c r="G259" s="1"/>
      <c r="H259" s="1"/>
      <c r="I259" s="28"/>
      <c r="J259" s="1"/>
      <c r="K259" s="2"/>
      <c r="L259" s="1"/>
      <c r="M259" s="1"/>
      <c r="N259" s="1"/>
      <c r="O259" s="1"/>
      <c r="P259" s="1"/>
      <c r="Q259" s="1"/>
      <c r="R259" s="1"/>
      <c r="S259" s="1"/>
      <c r="T259" s="1"/>
    </row>
    <row r="260" ht="15.75" customHeight="1">
      <c r="A260" s="1"/>
      <c r="B260" s="1"/>
      <c r="C260" s="1"/>
      <c r="D260" s="1"/>
      <c r="E260" s="1"/>
      <c r="F260" s="116"/>
      <c r="G260" s="1"/>
      <c r="H260" s="1"/>
      <c r="I260" s="28"/>
      <c r="J260" s="1"/>
      <c r="K260" s="2"/>
      <c r="L260" s="1"/>
      <c r="M260" s="1"/>
      <c r="N260" s="1"/>
      <c r="O260" s="1"/>
      <c r="P260" s="1"/>
      <c r="Q260" s="1"/>
      <c r="R260" s="1"/>
      <c r="S260" s="1"/>
      <c r="T260" s="1"/>
    </row>
    <row r="261" ht="15.75" customHeight="1">
      <c r="A261" s="1"/>
      <c r="B261" s="1"/>
      <c r="C261" s="1"/>
      <c r="D261" s="1"/>
      <c r="E261" s="1"/>
      <c r="F261" s="116"/>
      <c r="G261" s="1"/>
      <c r="H261" s="1"/>
      <c r="I261" s="28"/>
      <c r="J261" s="1"/>
      <c r="K261" s="2"/>
      <c r="L261" s="1"/>
      <c r="M261" s="1"/>
      <c r="N261" s="1"/>
      <c r="O261" s="1"/>
      <c r="P261" s="1"/>
      <c r="Q261" s="1"/>
      <c r="R261" s="1"/>
      <c r="S261" s="1"/>
      <c r="T261" s="1"/>
    </row>
    <row r="262" ht="15.75" customHeight="1">
      <c r="A262" s="1"/>
      <c r="B262" s="1"/>
      <c r="C262" s="1"/>
      <c r="D262" s="1"/>
      <c r="E262" s="1"/>
      <c r="F262" s="116"/>
      <c r="G262" s="1"/>
      <c r="H262" s="1"/>
      <c r="I262" s="28"/>
      <c r="J262" s="1"/>
      <c r="K262" s="2"/>
      <c r="L262" s="1"/>
      <c r="M262" s="1"/>
      <c r="N262" s="1"/>
      <c r="O262" s="1"/>
      <c r="P262" s="1"/>
      <c r="Q262" s="1"/>
      <c r="R262" s="1"/>
      <c r="S262" s="1"/>
      <c r="T262" s="1"/>
    </row>
    <row r="263" ht="15.75" customHeight="1">
      <c r="A263" s="1"/>
      <c r="B263" s="1"/>
      <c r="C263" s="1"/>
      <c r="D263" s="1"/>
      <c r="E263" s="1"/>
      <c r="F263" s="116"/>
      <c r="G263" s="1"/>
      <c r="H263" s="1"/>
      <c r="I263" s="28"/>
      <c r="J263" s="1"/>
      <c r="K263" s="2"/>
      <c r="L263" s="1"/>
      <c r="M263" s="1"/>
      <c r="N263" s="1"/>
      <c r="O263" s="1"/>
      <c r="P263" s="1"/>
      <c r="Q263" s="1"/>
      <c r="R263" s="1"/>
      <c r="S263" s="1"/>
      <c r="T263" s="1"/>
    </row>
    <row r="264" ht="15.75" customHeight="1">
      <c r="A264" s="1"/>
      <c r="B264" s="1"/>
      <c r="C264" s="1"/>
      <c r="D264" s="1"/>
      <c r="E264" s="1"/>
      <c r="F264" s="116"/>
      <c r="G264" s="1"/>
      <c r="H264" s="1"/>
      <c r="I264" s="28"/>
      <c r="J264" s="1"/>
      <c r="K264" s="2"/>
      <c r="L264" s="1"/>
      <c r="M264" s="1"/>
      <c r="N264" s="1"/>
      <c r="O264" s="1"/>
      <c r="P264" s="1"/>
      <c r="Q264" s="1"/>
      <c r="R264" s="1"/>
      <c r="S264" s="1"/>
      <c r="T264" s="1"/>
    </row>
    <row r="265" ht="15.75" customHeight="1">
      <c r="A265" s="1"/>
      <c r="B265" s="1"/>
      <c r="C265" s="1"/>
      <c r="D265" s="1"/>
      <c r="E265" s="1"/>
      <c r="F265" s="116"/>
      <c r="G265" s="1"/>
      <c r="H265" s="1"/>
      <c r="I265" s="28"/>
      <c r="J265" s="1"/>
      <c r="K265" s="2"/>
      <c r="L265" s="1"/>
      <c r="M265" s="1"/>
      <c r="N265" s="1"/>
      <c r="O265" s="1"/>
      <c r="P265" s="1"/>
      <c r="Q265" s="1"/>
      <c r="R265" s="1"/>
      <c r="S265" s="1"/>
      <c r="T265" s="1"/>
    </row>
    <row r="266" ht="15.75" customHeight="1">
      <c r="A266" s="1"/>
      <c r="B266" s="1"/>
      <c r="C266" s="1"/>
      <c r="D266" s="1"/>
      <c r="E266" s="1"/>
      <c r="F266" s="116"/>
      <c r="G266" s="1"/>
      <c r="H266" s="1"/>
      <c r="I266" s="28"/>
      <c r="J266" s="1"/>
      <c r="K266" s="2"/>
      <c r="L266" s="1"/>
      <c r="M266" s="1"/>
      <c r="N266" s="1"/>
      <c r="O266" s="1"/>
      <c r="P266" s="1"/>
      <c r="Q266" s="1"/>
      <c r="R266" s="1"/>
      <c r="S266" s="1"/>
      <c r="T266" s="1"/>
    </row>
    <row r="267" ht="15.75" customHeight="1">
      <c r="A267" s="1"/>
      <c r="B267" s="1"/>
      <c r="C267" s="1"/>
      <c r="D267" s="1"/>
      <c r="E267" s="1"/>
      <c r="F267" s="116"/>
      <c r="G267" s="1"/>
      <c r="H267" s="1"/>
      <c r="I267" s="28"/>
      <c r="J267" s="1"/>
      <c r="K267" s="2"/>
      <c r="L267" s="1"/>
      <c r="M267" s="1"/>
      <c r="N267" s="1"/>
      <c r="O267" s="1"/>
      <c r="P267" s="1"/>
      <c r="Q267" s="1"/>
      <c r="R267" s="1"/>
      <c r="S267" s="1"/>
      <c r="T267" s="1"/>
    </row>
    <row r="268" ht="15.75" customHeight="1">
      <c r="A268" s="1"/>
      <c r="B268" s="1"/>
      <c r="C268" s="1"/>
      <c r="D268" s="1"/>
      <c r="E268" s="1"/>
      <c r="F268" s="116"/>
      <c r="G268" s="1"/>
      <c r="H268" s="1"/>
      <c r="I268" s="28"/>
      <c r="J268" s="1"/>
      <c r="K268" s="2"/>
      <c r="L268" s="1"/>
      <c r="M268" s="1"/>
      <c r="N268" s="1"/>
      <c r="O268" s="1"/>
      <c r="P268" s="1"/>
      <c r="Q268" s="1"/>
      <c r="R268" s="1"/>
      <c r="S268" s="1"/>
      <c r="T268" s="1"/>
    </row>
    <row r="269" ht="15.75" customHeight="1">
      <c r="A269" s="1"/>
      <c r="B269" s="1"/>
      <c r="C269" s="1"/>
      <c r="D269" s="1"/>
      <c r="E269" s="1"/>
      <c r="F269" s="116"/>
      <c r="G269" s="1"/>
      <c r="H269" s="1"/>
      <c r="I269" s="28"/>
      <c r="J269" s="1"/>
      <c r="K269" s="2"/>
      <c r="L269" s="1"/>
      <c r="M269" s="1"/>
      <c r="N269" s="1"/>
      <c r="O269" s="1"/>
      <c r="P269" s="1"/>
      <c r="Q269" s="1"/>
      <c r="R269" s="1"/>
      <c r="S269" s="1"/>
      <c r="T269" s="1"/>
    </row>
    <row r="270" ht="15.75" customHeight="1">
      <c r="A270" s="1"/>
      <c r="B270" s="1"/>
      <c r="C270" s="1"/>
      <c r="D270" s="1"/>
      <c r="E270" s="1"/>
      <c r="F270" s="116"/>
      <c r="G270" s="1"/>
      <c r="H270" s="1"/>
      <c r="I270" s="28"/>
      <c r="J270" s="1"/>
      <c r="K270" s="2"/>
      <c r="L270" s="1"/>
      <c r="M270" s="1"/>
      <c r="N270" s="1"/>
      <c r="O270" s="1"/>
      <c r="P270" s="1"/>
      <c r="Q270" s="1"/>
      <c r="R270" s="1"/>
      <c r="S270" s="1"/>
      <c r="T270" s="1"/>
    </row>
    <row r="271" ht="15.75" customHeight="1">
      <c r="A271" s="1"/>
      <c r="B271" s="1"/>
      <c r="C271" s="1"/>
      <c r="D271" s="1"/>
      <c r="E271" s="1"/>
      <c r="F271" s="116"/>
      <c r="G271" s="1"/>
      <c r="H271" s="1"/>
      <c r="I271" s="28"/>
      <c r="J271" s="1"/>
      <c r="K271" s="2"/>
      <c r="L271" s="1"/>
      <c r="M271" s="1"/>
      <c r="N271" s="1"/>
      <c r="O271" s="1"/>
      <c r="P271" s="1"/>
      <c r="Q271" s="1"/>
      <c r="R271" s="1"/>
      <c r="S271" s="1"/>
      <c r="T271" s="1"/>
    </row>
    <row r="272" ht="15.75" customHeight="1">
      <c r="A272" s="1"/>
      <c r="B272" s="1"/>
      <c r="C272" s="1"/>
      <c r="D272" s="1"/>
      <c r="E272" s="1"/>
      <c r="F272" s="116"/>
      <c r="G272" s="1"/>
      <c r="H272" s="1"/>
      <c r="I272" s="28"/>
      <c r="J272" s="1"/>
      <c r="K272" s="2"/>
      <c r="L272" s="1"/>
      <c r="M272" s="1"/>
      <c r="N272" s="1"/>
      <c r="O272" s="1"/>
      <c r="P272" s="1"/>
      <c r="Q272" s="1"/>
      <c r="R272" s="1"/>
      <c r="S272" s="1"/>
      <c r="T272" s="1"/>
    </row>
    <row r="273" ht="15.75" customHeight="1">
      <c r="A273" s="1"/>
      <c r="B273" s="1"/>
      <c r="C273" s="1"/>
      <c r="D273" s="1"/>
      <c r="E273" s="1"/>
      <c r="F273" s="116"/>
      <c r="G273" s="1"/>
      <c r="H273" s="1"/>
      <c r="I273" s="28"/>
      <c r="J273" s="1"/>
      <c r="K273" s="2"/>
      <c r="L273" s="1"/>
      <c r="M273" s="1"/>
      <c r="N273" s="1"/>
      <c r="O273" s="1"/>
      <c r="P273" s="1"/>
      <c r="Q273" s="1"/>
      <c r="R273" s="1"/>
      <c r="S273" s="1"/>
      <c r="T273" s="1"/>
    </row>
    <row r="274" ht="15.75" customHeight="1">
      <c r="A274" s="1"/>
      <c r="B274" s="1"/>
      <c r="C274" s="1"/>
      <c r="D274" s="1"/>
      <c r="E274" s="1"/>
      <c r="F274" s="116"/>
      <c r="G274" s="1"/>
      <c r="H274" s="1"/>
      <c r="I274" s="28"/>
      <c r="J274" s="1"/>
      <c r="K274" s="2"/>
      <c r="L274" s="1"/>
      <c r="M274" s="1"/>
      <c r="N274" s="1"/>
      <c r="O274" s="1"/>
      <c r="P274" s="1"/>
      <c r="Q274" s="1"/>
      <c r="R274" s="1"/>
      <c r="S274" s="1"/>
      <c r="T274" s="1"/>
    </row>
    <row r="275" ht="15.75" customHeight="1">
      <c r="A275" s="1"/>
      <c r="B275" s="1"/>
      <c r="C275" s="1"/>
      <c r="D275" s="1"/>
      <c r="E275" s="1"/>
      <c r="F275" s="116"/>
      <c r="G275" s="1"/>
      <c r="H275" s="1"/>
      <c r="I275" s="28"/>
      <c r="J275" s="1"/>
      <c r="K275" s="2"/>
      <c r="L275" s="1"/>
      <c r="M275" s="1"/>
      <c r="N275" s="1"/>
      <c r="O275" s="1"/>
      <c r="P275" s="1"/>
      <c r="Q275" s="1"/>
      <c r="R275" s="1"/>
      <c r="S275" s="1"/>
      <c r="T275" s="1"/>
    </row>
    <row r="276" ht="15.75" customHeight="1">
      <c r="A276" s="1"/>
      <c r="B276" s="1"/>
      <c r="C276" s="1"/>
      <c r="D276" s="1"/>
      <c r="E276" s="1"/>
      <c r="F276" s="116"/>
      <c r="G276" s="1"/>
      <c r="H276" s="1"/>
      <c r="I276" s="28"/>
      <c r="J276" s="1"/>
      <c r="K276" s="2"/>
      <c r="L276" s="1"/>
      <c r="M276" s="1"/>
      <c r="N276" s="1"/>
      <c r="O276" s="1"/>
      <c r="P276" s="1"/>
      <c r="Q276" s="1"/>
      <c r="R276" s="1"/>
      <c r="S276" s="1"/>
      <c r="T276" s="1"/>
    </row>
    <row r="277" ht="15.75" customHeight="1">
      <c r="A277" s="1"/>
      <c r="B277" s="1"/>
      <c r="C277" s="1"/>
      <c r="D277" s="1"/>
      <c r="E277" s="1"/>
      <c r="F277" s="116"/>
      <c r="G277" s="1"/>
      <c r="H277" s="1"/>
      <c r="I277" s="28"/>
      <c r="J277" s="1"/>
      <c r="K277" s="2"/>
      <c r="L277" s="1"/>
      <c r="M277" s="1"/>
      <c r="N277" s="1"/>
      <c r="O277" s="1"/>
      <c r="P277" s="1"/>
      <c r="Q277" s="1"/>
      <c r="R277" s="1"/>
      <c r="S277" s="1"/>
      <c r="T277" s="1"/>
    </row>
    <row r="278" ht="15.75" customHeight="1">
      <c r="A278" s="1"/>
      <c r="B278" s="1"/>
      <c r="C278" s="1"/>
      <c r="D278" s="1"/>
      <c r="E278" s="1"/>
      <c r="F278" s="116"/>
      <c r="G278" s="1"/>
      <c r="H278" s="1"/>
      <c r="I278" s="28"/>
      <c r="J278" s="1"/>
      <c r="K278" s="2"/>
      <c r="L278" s="1"/>
      <c r="M278" s="1"/>
      <c r="N278" s="1"/>
      <c r="O278" s="1"/>
      <c r="P278" s="1"/>
      <c r="Q278" s="1"/>
      <c r="R278" s="1"/>
      <c r="S278" s="1"/>
      <c r="T278" s="1"/>
    </row>
    <row r="279" ht="15.75" customHeight="1">
      <c r="A279" s="1"/>
      <c r="B279" s="1"/>
      <c r="C279" s="1"/>
      <c r="D279" s="1"/>
      <c r="E279" s="1"/>
      <c r="F279" s="116"/>
      <c r="G279" s="1"/>
      <c r="H279" s="1"/>
      <c r="I279" s="28"/>
      <c r="J279" s="1"/>
      <c r="K279" s="2"/>
      <c r="L279" s="1"/>
      <c r="M279" s="1"/>
      <c r="N279" s="1"/>
      <c r="O279" s="1"/>
      <c r="P279" s="1"/>
      <c r="Q279" s="1"/>
      <c r="R279" s="1"/>
      <c r="S279" s="1"/>
      <c r="T279" s="1"/>
    </row>
    <row r="280" ht="15.75" customHeight="1">
      <c r="A280" s="1"/>
      <c r="B280" s="1"/>
      <c r="C280" s="1"/>
      <c r="D280" s="1"/>
      <c r="E280" s="1"/>
      <c r="F280" s="116"/>
      <c r="G280" s="1"/>
      <c r="H280" s="1"/>
      <c r="I280" s="28"/>
      <c r="J280" s="1"/>
      <c r="K280" s="2"/>
      <c r="L280" s="1"/>
      <c r="M280" s="1"/>
      <c r="N280" s="1"/>
      <c r="O280" s="1"/>
      <c r="P280" s="1"/>
      <c r="Q280" s="1"/>
      <c r="R280" s="1"/>
      <c r="S280" s="1"/>
      <c r="T280" s="1"/>
    </row>
    <row r="281" ht="15.75" customHeight="1">
      <c r="A281" s="1"/>
      <c r="B281" s="1"/>
      <c r="C281" s="1"/>
      <c r="D281" s="1"/>
      <c r="E281" s="1"/>
      <c r="F281" s="116"/>
      <c r="G281" s="1"/>
      <c r="H281" s="1"/>
      <c r="I281" s="28"/>
      <c r="J281" s="1"/>
      <c r="K281" s="2"/>
      <c r="L281" s="1"/>
      <c r="M281" s="1"/>
      <c r="N281" s="1"/>
      <c r="O281" s="1"/>
      <c r="P281" s="1"/>
      <c r="Q281" s="1"/>
      <c r="R281" s="1"/>
      <c r="S281" s="1"/>
      <c r="T281" s="1"/>
    </row>
    <row r="282" ht="15.75" customHeight="1">
      <c r="A282" s="1"/>
      <c r="B282" s="1"/>
      <c r="C282" s="1"/>
      <c r="D282" s="1"/>
      <c r="E282" s="1"/>
      <c r="F282" s="116"/>
      <c r="G282" s="1"/>
      <c r="H282" s="1"/>
      <c r="I282" s="28"/>
      <c r="J282" s="1"/>
      <c r="K282" s="2"/>
      <c r="L282" s="1"/>
      <c r="M282" s="1"/>
      <c r="N282" s="1"/>
      <c r="O282" s="1"/>
      <c r="P282" s="1"/>
      <c r="Q282" s="1"/>
      <c r="R282" s="1"/>
      <c r="S282" s="1"/>
      <c r="T282" s="1"/>
    </row>
    <row r="283" ht="15.75" customHeight="1">
      <c r="A283" s="1"/>
      <c r="B283" s="1"/>
      <c r="C283" s="1"/>
      <c r="D283" s="1"/>
      <c r="E283" s="1"/>
      <c r="F283" s="116"/>
      <c r="G283" s="1"/>
      <c r="H283" s="1"/>
      <c r="I283" s="28"/>
      <c r="J283" s="1"/>
      <c r="K283" s="2"/>
      <c r="L283" s="1"/>
      <c r="M283" s="1"/>
      <c r="N283" s="1"/>
      <c r="O283" s="1"/>
      <c r="P283" s="1"/>
      <c r="Q283" s="1"/>
      <c r="R283" s="1"/>
      <c r="S283" s="1"/>
      <c r="T283" s="1"/>
    </row>
    <row r="284" ht="15.75" customHeight="1">
      <c r="A284" s="1"/>
      <c r="B284" s="1"/>
      <c r="C284" s="1"/>
      <c r="D284" s="1"/>
      <c r="E284" s="1"/>
      <c r="F284" s="116"/>
      <c r="G284" s="1"/>
      <c r="H284" s="1"/>
      <c r="I284" s="28"/>
      <c r="J284" s="1"/>
      <c r="K284" s="2"/>
      <c r="L284" s="1"/>
      <c r="M284" s="1"/>
      <c r="N284" s="1"/>
      <c r="O284" s="1"/>
      <c r="P284" s="1"/>
      <c r="Q284" s="1"/>
      <c r="R284" s="1"/>
      <c r="S284" s="1"/>
      <c r="T284" s="1"/>
    </row>
    <row r="285" ht="15.75" customHeight="1">
      <c r="A285" s="1"/>
      <c r="B285" s="1"/>
      <c r="C285" s="1"/>
      <c r="D285" s="1"/>
      <c r="E285" s="1"/>
      <c r="F285" s="116"/>
      <c r="G285" s="1"/>
      <c r="H285" s="1"/>
      <c r="I285" s="28"/>
      <c r="J285" s="1"/>
      <c r="K285" s="2"/>
      <c r="L285" s="1"/>
      <c r="M285" s="1"/>
      <c r="N285" s="1"/>
      <c r="O285" s="1"/>
      <c r="P285" s="1"/>
      <c r="Q285" s="1"/>
      <c r="R285" s="1"/>
      <c r="S285" s="1"/>
      <c r="T285" s="1"/>
    </row>
    <row r="286" ht="15.75" customHeight="1">
      <c r="A286" s="1"/>
      <c r="B286" s="1"/>
      <c r="C286" s="1"/>
      <c r="D286" s="1"/>
      <c r="E286" s="1"/>
      <c r="F286" s="116"/>
      <c r="G286" s="1"/>
      <c r="H286" s="1"/>
      <c r="I286" s="28"/>
      <c r="J286" s="1"/>
      <c r="K286" s="2"/>
      <c r="L286" s="1"/>
      <c r="M286" s="1"/>
      <c r="N286" s="1"/>
      <c r="O286" s="1"/>
      <c r="P286" s="1"/>
      <c r="Q286" s="1"/>
      <c r="R286" s="1"/>
      <c r="S286" s="1"/>
      <c r="T286" s="1"/>
    </row>
    <row r="287" ht="15.75" customHeight="1">
      <c r="A287" s="1"/>
      <c r="B287" s="1"/>
      <c r="C287" s="1"/>
      <c r="D287" s="1"/>
      <c r="E287" s="1"/>
      <c r="F287" s="116"/>
      <c r="G287" s="1"/>
      <c r="H287" s="1"/>
      <c r="I287" s="28"/>
      <c r="J287" s="1"/>
      <c r="K287" s="2"/>
      <c r="L287" s="1"/>
      <c r="M287" s="1"/>
      <c r="N287" s="1"/>
      <c r="O287" s="1"/>
      <c r="P287" s="1"/>
      <c r="Q287" s="1"/>
      <c r="R287" s="1"/>
      <c r="S287" s="1"/>
      <c r="T287" s="1"/>
    </row>
    <row r="288" ht="15.75" customHeight="1">
      <c r="A288" s="1"/>
      <c r="B288" s="1"/>
      <c r="C288" s="1"/>
      <c r="D288" s="1"/>
      <c r="E288" s="1"/>
      <c r="F288" s="116"/>
      <c r="G288" s="1"/>
      <c r="H288" s="1"/>
      <c r="I288" s="28"/>
      <c r="J288" s="1"/>
      <c r="K288" s="2"/>
      <c r="L288" s="1"/>
      <c r="M288" s="1"/>
      <c r="N288" s="1"/>
      <c r="O288" s="1"/>
      <c r="P288" s="1"/>
      <c r="Q288" s="1"/>
      <c r="R288" s="1"/>
      <c r="S288" s="1"/>
      <c r="T288" s="1"/>
    </row>
    <row r="289" ht="15.75" customHeight="1">
      <c r="A289" s="1"/>
      <c r="B289" s="1"/>
      <c r="C289" s="1"/>
      <c r="D289" s="1"/>
      <c r="E289" s="1"/>
      <c r="F289" s="116"/>
      <c r="G289" s="1"/>
      <c r="H289" s="1"/>
      <c r="I289" s="28"/>
      <c r="J289" s="1"/>
      <c r="K289" s="2"/>
      <c r="L289" s="1"/>
      <c r="M289" s="1"/>
      <c r="N289" s="1"/>
      <c r="O289" s="1"/>
      <c r="P289" s="1"/>
      <c r="Q289" s="1"/>
      <c r="R289" s="1"/>
      <c r="S289" s="1"/>
      <c r="T289" s="1"/>
    </row>
    <row r="290" ht="15.75" customHeight="1">
      <c r="A290" s="1"/>
      <c r="B290" s="1"/>
      <c r="C290" s="1"/>
      <c r="D290" s="1"/>
      <c r="E290" s="1"/>
      <c r="F290" s="116"/>
      <c r="G290" s="1"/>
      <c r="H290" s="1"/>
      <c r="I290" s="28"/>
      <c r="J290" s="1"/>
      <c r="K290" s="2"/>
      <c r="L290" s="1"/>
      <c r="M290" s="1"/>
      <c r="N290" s="1"/>
      <c r="O290" s="1"/>
      <c r="P290" s="1"/>
      <c r="Q290" s="1"/>
      <c r="R290" s="1"/>
      <c r="S290" s="1"/>
      <c r="T290" s="1"/>
    </row>
    <row r="291" ht="15.75" customHeight="1">
      <c r="A291" s="1"/>
      <c r="B291" s="1"/>
      <c r="C291" s="1"/>
      <c r="D291" s="1"/>
      <c r="E291" s="1"/>
      <c r="F291" s="116"/>
      <c r="G291" s="1"/>
      <c r="H291" s="1"/>
      <c r="I291" s="28"/>
      <c r="J291" s="1"/>
      <c r="K291" s="2"/>
      <c r="L291" s="1"/>
      <c r="M291" s="1"/>
      <c r="N291" s="1"/>
      <c r="O291" s="1"/>
      <c r="P291" s="1"/>
      <c r="Q291" s="1"/>
      <c r="R291" s="1"/>
      <c r="S291" s="1"/>
      <c r="T291" s="1"/>
    </row>
    <row r="292" ht="15.75" customHeight="1">
      <c r="A292" s="1"/>
      <c r="B292" s="1"/>
      <c r="C292" s="1"/>
      <c r="D292" s="1"/>
      <c r="E292" s="1"/>
      <c r="F292" s="116"/>
      <c r="G292" s="1"/>
      <c r="H292" s="1"/>
      <c r="I292" s="28"/>
      <c r="J292" s="1"/>
      <c r="K292" s="2"/>
      <c r="L292" s="1"/>
      <c r="M292" s="1"/>
      <c r="N292" s="1"/>
      <c r="O292" s="1"/>
      <c r="P292" s="1"/>
      <c r="Q292" s="1"/>
      <c r="R292" s="1"/>
      <c r="S292" s="1"/>
      <c r="T292" s="1"/>
    </row>
    <row r="293" ht="15.75" customHeight="1">
      <c r="A293" s="1"/>
      <c r="B293" s="1"/>
      <c r="C293" s="1"/>
      <c r="D293" s="1"/>
      <c r="E293" s="1"/>
      <c r="F293" s="116"/>
      <c r="G293" s="1"/>
      <c r="H293" s="1"/>
      <c r="I293" s="28"/>
      <c r="J293" s="1"/>
      <c r="K293" s="2"/>
      <c r="L293" s="1"/>
      <c r="M293" s="1"/>
      <c r="N293" s="1"/>
      <c r="O293" s="1"/>
      <c r="P293" s="1"/>
      <c r="Q293" s="1"/>
      <c r="R293" s="1"/>
      <c r="S293" s="1"/>
      <c r="T293" s="1"/>
    </row>
    <row r="294" ht="15.75" customHeight="1">
      <c r="A294" s="1"/>
      <c r="B294" s="1"/>
      <c r="C294" s="1"/>
      <c r="D294" s="1"/>
      <c r="E294" s="1"/>
      <c r="F294" s="116"/>
      <c r="G294" s="1"/>
      <c r="H294" s="1"/>
      <c r="I294" s="28"/>
      <c r="J294" s="1"/>
      <c r="K294" s="2"/>
      <c r="L294" s="1"/>
      <c r="M294" s="1"/>
      <c r="N294" s="1"/>
      <c r="O294" s="1"/>
      <c r="P294" s="1"/>
      <c r="Q294" s="1"/>
      <c r="R294" s="1"/>
      <c r="S294" s="1"/>
      <c r="T294" s="1"/>
    </row>
    <row r="295" ht="15.75" customHeight="1">
      <c r="A295" s="1"/>
      <c r="B295" s="1"/>
      <c r="C295" s="1"/>
      <c r="D295" s="1"/>
      <c r="E295" s="1"/>
      <c r="F295" s="116"/>
      <c r="G295" s="1"/>
      <c r="H295" s="1"/>
      <c r="I295" s="28"/>
      <c r="J295" s="1"/>
      <c r="K295" s="2"/>
      <c r="L295" s="1"/>
      <c r="M295" s="1"/>
      <c r="N295" s="1"/>
      <c r="O295" s="1"/>
      <c r="P295" s="1"/>
      <c r="Q295" s="1"/>
      <c r="R295" s="1"/>
      <c r="S295" s="1"/>
      <c r="T295" s="1"/>
    </row>
    <row r="296" ht="15.75" customHeight="1">
      <c r="A296" s="1"/>
      <c r="B296" s="1"/>
      <c r="C296" s="1"/>
      <c r="D296" s="1"/>
      <c r="E296" s="1"/>
      <c r="F296" s="116"/>
      <c r="G296" s="1"/>
      <c r="H296" s="1"/>
      <c r="I296" s="28"/>
      <c r="J296" s="1"/>
      <c r="K296" s="2"/>
      <c r="L296" s="1"/>
      <c r="M296" s="1"/>
      <c r="N296" s="1"/>
      <c r="O296" s="1"/>
      <c r="P296" s="1"/>
      <c r="Q296" s="1"/>
      <c r="R296" s="1"/>
      <c r="S296" s="1"/>
      <c r="T296" s="1"/>
    </row>
    <row r="297" ht="15.75" customHeight="1">
      <c r="A297" s="1"/>
      <c r="B297" s="1"/>
      <c r="C297" s="1"/>
      <c r="D297" s="1"/>
      <c r="E297" s="1"/>
      <c r="F297" s="116"/>
      <c r="G297" s="1"/>
      <c r="H297" s="1"/>
      <c r="I297" s="28"/>
      <c r="J297" s="1"/>
      <c r="K297" s="2"/>
      <c r="L297" s="1"/>
      <c r="M297" s="1"/>
      <c r="N297" s="1"/>
      <c r="O297" s="1"/>
      <c r="P297" s="1"/>
      <c r="Q297" s="1"/>
      <c r="R297" s="1"/>
      <c r="S297" s="1"/>
      <c r="T297" s="1"/>
    </row>
    <row r="298" ht="15.75" customHeight="1">
      <c r="A298" s="1"/>
      <c r="B298" s="1"/>
      <c r="C298" s="1"/>
      <c r="D298" s="1"/>
      <c r="E298" s="1"/>
      <c r="F298" s="116"/>
      <c r="G298" s="1"/>
      <c r="H298" s="1"/>
      <c r="I298" s="28"/>
      <c r="J298" s="1"/>
      <c r="K298" s="2"/>
      <c r="L298" s="1"/>
      <c r="M298" s="1"/>
      <c r="N298" s="1"/>
      <c r="O298" s="1"/>
      <c r="P298" s="1"/>
      <c r="Q298" s="1"/>
      <c r="R298" s="1"/>
      <c r="S298" s="1"/>
      <c r="T298" s="1"/>
    </row>
    <row r="299" ht="15.75" customHeight="1">
      <c r="A299" s="1"/>
      <c r="B299" s="1"/>
      <c r="C299" s="1"/>
      <c r="D299" s="1"/>
      <c r="E299" s="1"/>
      <c r="F299" s="116"/>
      <c r="G299" s="1"/>
      <c r="H299" s="1"/>
      <c r="I299" s="28"/>
      <c r="J299" s="1"/>
      <c r="K299" s="2"/>
      <c r="L299" s="1"/>
      <c r="M299" s="1"/>
      <c r="N299" s="1"/>
      <c r="O299" s="1"/>
      <c r="P299" s="1"/>
      <c r="Q299" s="1"/>
      <c r="R299" s="1"/>
      <c r="S299" s="1"/>
      <c r="T299" s="1"/>
    </row>
    <row r="300" ht="15.75" customHeight="1">
      <c r="A300" s="1"/>
      <c r="B300" s="1"/>
      <c r="C300" s="1"/>
      <c r="D300" s="1"/>
      <c r="E300" s="1"/>
      <c r="F300" s="116"/>
      <c r="G300" s="1"/>
      <c r="H300" s="1"/>
      <c r="I300" s="28"/>
      <c r="J300" s="1"/>
      <c r="K300" s="2"/>
      <c r="L300" s="1"/>
      <c r="M300" s="1"/>
      <c r="N300" s="1"/>
      <c r="O300" s="1"/>
      <c r="P300" s="1"/>
      <c r="Q300" s="1"/>
      <c r="R300" s="1"/>
      <c r="S300" s="1"/>
      <c r="T300" s="1"/>
    </row>
    <row r="301" ht="15.75" customHeight="1">
      <c r="A301" s="1"/>
      <c r="B301" s="1"/>
      <c r="C301" s="1"/>
      <c r="D301" s="1"/>
      <c r="E301" s="1"/>
      <c r="F301" s="116"/>
      <c r="G301" s="1"/>
      <c r="H301" s="1"/>
      <c r="I301" s="28"/>
      <c r="J301" s="1"/>
      <c r="K301" s="2"/>
      <c r="L301" s="1"/>
      <c r="M301" s="1"/>
      <c r="N301" s="1"/>
      <c r="O301" s="1"/>
      <c r="P301" s="1"/>
      <c r="Q301" s="1"/>
      <c r="R301" s="1"/>
      <c r="S301" s="1"/>
      <c r="T301" s="1"/>
    </row>
    <row r="302" ht="15.75" customHeight="1">
      <c r="A302" s="1"/>
      <c r="B302" s="1"/>
      <c r="C302" s="1"/>
      <c r="D302" s="1"/>
      <c r="E302" s="1"/>
      <c r="F302" s="116"/>
      <c r="G302" s="1"/>
      <c r="H302" s="1"/>
      <c r="I302" s="28"/>
      <c r="J302" s="1"/>
      <c r="K302" s="2"/>
      <c r="L302" s="1"/>
      <c r="M302" s="1"/>
      <c r="N302" s="1"/>
      <c r="O302" s="1"/>
      <c r="P302" s="1"/>
      <c r="Q302" s="1"/>
      <c r="R302" s="1"/>
      <c r="S302" s="1"/>
      <c r="T302" s="1"/>
    </row>
    <row r="303" ht="15.75" customHeight="1">
      <c r="A303" s="1"/>
      <c r="B303" s="1"/>
      <c r="C303" s="1"/>
      <c r="D303" s="1"/>
      <c r="E303" s="1"/>
      <c r="F303" s="116"/>
      <c r="G303" s="1"/>
      <c r="H303" s="1"/>
      <c r="I303" s="28"/>
      <c r="J303" s="1"/>
      <c r="K303" s="2"/>
      <c r="L303" s="1"/>
      <c r="M303" s="1"/>
      <c r="N303" s="1"/>
      <c r="O303" s="1"/>
      <c r="P303" s="1"/>
      <c r="Q303" s="1"/>
      <c r="R303" s="1"/>
      <c r="S303" s="1"/>
      <c r="T303" s="1"/>
    </row>
    <row r="304" ht="15.75" customHeight="1">
      <c r="A304" s="1"/>
      <c r="B304" s="1"/>
      <c r="C304" s="1"/>
      <c r="D304" s="1"/>
      <c r="E304" s="1"/>
      <c r="F304" s="116"/>
      <c r="G304" s="1"/>
      <c r="H304" s="1"/>
      <c r="I304" s="28"/>
      <c r="J304" s="1"/>
      <c r="K304" s="2"/>
      <c r="L304" s="1"/>
      <c r="M304" s="1"/>
      <c r="N304" s="1"/>
      <c r="O304" s="1"/>
      <c r="P304" s="1"/>
      <c r="Q304" s="1"/>
      <c r="R304" s="1"/>
      <c r="S304" s="1"/>
      <c r="T304" s="1"/>
    </row>
    <row r="305" ht="15.75" customHeight="1">
      <c r="A305" s="1"/>
      <c r="B305" s="1"/>
      <c r="C305" s="1"/>
      <c r="D305" s="1"/>
      <c r="E305" s="1"/>
      <c r="F305" s="116"/>
      <c r="G305" s="1"/>
      <c r="H305" s="1"/>
      <c r="I305" s="28"/>
      <c r="J305" s="1"/>
      <c r="K305" s="2"/>
      <c r="L305" s="1"/>
      <c r="M305" s="1"/>
      <c r="N305" s="1"/>
      <c r="O305" s="1"/>
      <c r="P305" s="1"/>
      <c r="Q305" s="1"/>
      <c r="R305" s="1"/>
      <c r="S305" s="1"/>
      <c r="T305" s="1"/>
    </row>
    <row r="306" ht="15.75" customHeight="1">
      <c r="K306" s="27"/>
    </row>
    <row r="307" ht="15.75" customHeight="1">
      <c r="K307" s="27"/>
    </row>
    <row r="308" ht="15.75" customHeight="1">
      <c r="K308" s="27"/>
    </row>
    <row r="309" ht="15.75" customHeight="1">
      <c r="K309" s="27"/>
    </row>
    <row r="310" ht="15.75" customHeight="1">
      <c r="K310" s="27"/>
    </row>
    <row r="311" ht="15.75" customHeight="1">
      <c r="K311" s="27"/>
    </row>
    <row r="312" ht="15.75" customHeight="1">
      <c r="K312" s="27"/>
    </row>
    <row r="313" ht="15.75" customHeight="1">
      <c r="K313" s="27"/>
    </row>
    <row r="314" ht="15.75" customHeight="1">
      <c r="K314" s="27"/>
    </row>
    <row r="315" ht="15.75" customHeight="1">
      <c r="K315" s="27"/>
    </row>
    <row r="316" ht="15.75" customHeight="1">
      <c r="K316" s="27"/>
    </row>
    <row r="317" ht="15.75" customHeight="1">
      <c r="K317" s="27"/>
    </row>
    <row r="318" ht="15.75" customHeight="1">
      <c r="K318" s="27"/>
    </row>
    <row r="319" ht="15.75" customHeight="1">
      <c r="K319" s="27"/>
    </row>
    <row r="320" ht="15.75" customHeight="1">
      <c r="K320" s="27"/>
    </row>
    <row r="321" ht="15.75" customHeight="1">
      <c r="K321" s="27"/>
    </row>
    <row r="322" ht="15.75" customHeight="1">
      <c r="K322" s="27"/>
    </row>
    <row r="323" ht="15.75" customHeight="1">
      <c r="K323" s="27"/>
    </row>
    <row r="324" ht="15.75" customHeight="1">
      <c r="K324" s="27"/>
    </row>
    <row r="325" ht="15.75" customHeight="1">
      <c r="K325" s="27"/>
    </row>
    <row r="326" ht="15.75" customHeight="1">
      <c r="K326" s="27"/>
    </row>
    <row r="327" ht="15.75" customHeight="1">
      <c r="K327" s="27"/>
    </row>
    <row r="328" ht="15.75" customHeight="1">
      <c r="K328" s="27"/>
    </row>
    <row r="329" ht="15.75" customHeight="1">
      <c r="K329" s="27"/>
    </row>
    <row r="330" ht="15.75" customHeight="1">
      <c r="K330" s="27"/>
    </row>
    <row r="331" ht="15.75" customHeight="1">
      <c r="K331" s="27"/>
    </row>
    <row r="332" ht="15.75" customHeight="1">
      <c r="K332" s="27"/>
    </row>
    <row r="333" ht="15.75" customHeight="1">
      <c r="K333" s="27"/>
    </row>
    <row r="334" ht="15.75" customHeight="1">
      <c r="K334" s="27"/>
    </row>
    <row r="335" ht="15.75" customHeight="1">
      <c r="K335" s="27"/>
    </row>
    <row r="336" ht="15.75" customHeight="1">
      <c r="K336" s="27"/>
    </row>
    <row r="337" ht="15.75" customHeight="1">
      <c r="K337" s="27"/>
    </row>
    <row r="338" ht="15.75" customHeight="1">
      <c r="K338" s="27"/>
    </row>
    <row r="339" ht="15.75" customHeight="1">
      <c r="K339" s="27"/>
    </row>
    <row r="340" ht="15.75" customHeight="1">
      <c r="K340" s="27"/>
    </row>
    <row r="341" ht="15.75" customHeight="1">
      <c r="K341" s="27"/>
    </row>
    <row r="342" ht="15.75" customHeight="1">
      <c r="K342" s="27"/>
    </row>
    <row r="343" ht="15.75" customHeight="1">
      <c r="K343" s="27"/>
    </row>
    <row r="344" ht="15.75" customHeight="1">
      <c r="K344" s="27"/>
    </row>
    <row r="345" ht="15.75" customHeight="1">
      <c r="K345" s="27"/>
    </row>
    <row r="346" ht="15.75" customHeight="1">
      <c r="K346" s="27"/>
    </row>
    <row r="347" ht="15.75" customHeight="1">
      <c r="K347" s="27"/>
    </row>
    <row r="348" ht="15.75" customHeight="1">
      <c r="K348" s="27"/>
    </row>
    <row r="349" ht="15.75" customHeight="1">
      <c r="K349" s="27"/>
    </row>
    <row r="350" ht="15.75" customHeight="1">
      <c r="K350" s="27"/>
    </row>
    <row r="351" ht="15.75" customHeight="1">
      <c r="K351" s="27"/>
    </row>
    <row r="352" ht="15.75" customHeight="1">
      <c r="K352" s="27"/>
    </row>
    <row r="353" ht="15.75" customHeight="1">
      <c r="K353" s="27"/>
    </row>
    <row r="354" ht="15.75" customHeight="1">
      <c r="K354" s="27"/>
    </row>
    <row r="355" ht="15.75" customHeight="1">
      <c r="K355" s="27"/>
    </row>
    <row r="356" ht="15.75" customHeight="1">
      <c r="K356" s="27"/>
    </row>
    <row r="357" ht="15.75" customHeight="1">
      <c r="K357" s="27"/>
    </row>
    <row r="358" ht="15.75" customHeight="1">
      <c r="K358" s="27"/>
    </row>
    <row r="359" ht="15.75" customHeight="1">
      <c r="K359" s="27"/>
    </row>
    <row r="360" ht="15.75" customHeight="1">
      <c r="K360" s="27"/>
    </row>
    <row r="361" ht="15.75" customHeight="1">
      <c r="K361" s="27"/>
    </row>
    <row r="362" ht="15.75" customHeight="1">
      <c r="K362" s="27"/>
    </row>
    <row r="363" ht="15.75" customHeight="1">
      <c r="K363" s="27"/>
    </row>
    <row r="364" ht="15.75" customHeight="1">
      <c r="K364" s="27"/>
    </row>
    <row r="365" ht="15.75" customHeight="1">
      <c r="K365" s="27"/>
    </row>
    <row r="366" ht="15.75" customHeight="1">
      <c r="K366" s="27"/>
    </row>
    <row r="367" ht="15.75" customHeight="1">
      <c r="K367" s="27"/>
    </row>
    <row r="368" ht="15.75" customHeight="1">
      <c r="K368" s="27"/>
    </row>
    <row r="369" ht="15.75" customHeight="1">
      <c r="K369" s="27"/>
    </row>
    <row r="370" ht="15.75" customHeight="1">
      <c r="K370" s="27"/>
    </row>
    <row r="371" ht="15.75" customHeight="1">
      <c r="K371" s="27"/>
    </row>
    <row r="372" ht="15.75" customHeight="1">
      <c r="K372" s="27"/>
    </row>
    <row r="373" ht="15.75" customHeight="1">
      <c r="K373" s="27"/>
    </row>
    <row r="374" ht="15.75" customHeight="1">
      <c r="K374" s="27"/>
    </row>
    <row r="375" ht="15.75" customHeight="1">
      <c r="K375" s="27"/>
    </row>
    <row r="376" ht="15.75" customHeight="1">
      <c r="K376" s="27"/>
    </row>
    <row r="377" ht="15.75" customHeight="1">
      <c r="K377" s="27"/>
    </row>
    <row r="378" ht="15.75" customHeight="1">
      <c r="K378" s="27"/>
    </row>
    <row r="379" ht="15.75" customHeight="1">
      <c r="K379" s="27"/>
    </row>
    <row r="380" ht="15.75" customHeight="1">
      <c r="K380" s="27"/>
    </row>
    <row r="381" ht="15.75" customHeight="1">
      <c r="K381" s="27"/>
    </row>
    <row r="382" ht="15.75" customHeight="1">
      <c r="K382" s="27"/>
    </row>
    <row r="383" ht="15.75" customHeight="1">
      <c r="K383" s="27"/>
    </row>
    <row r="384" ht="15.75" customHeight="1">
      <c r="K384" s="27"/>
    </row>
    <row r="385" ht="15.75" customHeight="1">
      <c r="K385" s="27"/>
    </row>
    <row r="386" ht="15.75" customHeight="1">
      <c r="K386" s="27"/>
    </row>
    <row r="387" ht="15.75" customHeight="1">
      <c r="K387" s="27"/>
    </row>
    <row r="388" ht="15.75" customHeight="1">
      <c r="K388" s="27"/>
    </row>
    <row r="389" ht="15.75" customHeight="1">
      <c r="K389" s="27"/>
    </row>
    <row r="390" ht="15.75" customHeight="1">
      <c r="K390" s="27"/>
    </row>
    <row r="391" ht="15.75" customHeight="1">
      <c r="K391" s="27"/>
    </row>
    <row r="392" ht="15.75" customHeight="1">
      <c r="K392" s="27"/>
    </row>
    <row r="393" ht="15.75" customHeight="1">
      <c r="K393" s="27"/>
    </row>
    <row r="394" ht="15.75" customHeight="1">
      <c r="K394" s="27"/>
    </row>
    <row r="395" ht="15.75" customHeight="1">
      <c r="K395" s="27"/>
    </row>
    <row r="396" ht="15.75" customHeight="1">
      <c r="K396" s="27"/>
    </row>
    <row r="397" ht="15.75" customHeight="1">
      <c r="K397" s="27"/>
    </row>
    <row r="398" ht="15.75" customHeight="1">
      <c r="K398" s="27"/>
    </row>
    <row r="399" ht="15.75" customHeight="1">
      <c r="K399" s="27"/>
    </row>
    <row r="400" ht="15.75" customHeight="1">
      <c r="K400" s="27"/>
    </row>
    <row r="401" ht="15.75" customHeight="1">
      <c r="K401" s="27"/>
    </row>
    <row r="402" ht="15.75" customHeight="1">
      <c r="K402" s="27"/>
    </row>
    <row r="403" ht="15.75" customHeight="1">
      <c r="K403" s="27"/>
    </row>
    <row r="404" ht="15.75" customHeight="1">
      <c r="K404" s="27"/>
    </row>
    <row r="405" ht="15.75" customHeight="1">
      <c r="K405" s="27"/>
    </row>
    <row r="406" ht="15.75" customHeight="1">
      <c r="K406" s="27"/>
    </row>
    <row r="407" ht="15.75" customHeight="1">
      <c r="K407" s="27"/>
    </row>
    <row r="408" ht="15.75" customHeight="1">
      <c r="K408" s="27"/>
    </row>
    <row r="409" ht="15.75" customHeight="1">
      <c r="K409" s="27"/>
    </row>
    <row r="410" ht="15.75" customHeight="1">
      <c r="K410" s="27"/>
    </row>
    <row r="411" ht="15.75" customHeight="1">
      <c r="K411" s="27"/>
    </row>
    <row r="412" ht="15.75" customHeight="1">
      <c r="K412" s="27"/>
    </row>
    <row r="413" ht="15.75" customHeight="1">
      <c r="K413" s="27"/>
    </row>
    <row r="414" ht="15.75" customHeight="1">
      <c r="K414" s="27"/>
    </row>
    <row r="415" ht="15.75" customHeight="1">
      <c r="K415" s="27"/>
    </row>
    <row r="416" ht="15.75" customHeight="1">
      <c r="K416" s="27"/>
    </row>
    <row r="417" ht="15.75" customHeight="1">
      <c r="K417" s="27"/>
    </row>
    <row r="418" ht="15.75" customHeight="1">
      <c r="K418" s="27"/>
    </row>
    <row r="419" ht="15.75" customHeight="1">
      <c r="K419" s="27"/>
    </row>
    <row r="420" ht="15.75" customHeight="1">
      <c r="K420" s="27"/>
    </row>
    <row r="421" ht="15.75" customHeight="1">
      <c r="K421" s="27"/>
    </row>
    <row r="422" ht="15.75" customHeight="1">
      <c r="K422" s="27"/>
    </row>
    <row r="423" ht="15.75" customHeight="1">
      <c r="K423" s="27"/>
    </row>
    <row r="424" ht="15.75" customHeight="1">
      <c r="K424" s="27"/>
    </row>
    <row r="425" ht="15.75" customHeight="1">
      <c r="K425" s="27"/>
    </row>
    <row r="426" ht="15.75" customHeight="1">
      <c r="K426" s="27"/>
    </row>
    <row r="427" ht="15.75" customHeight="1">
      <c r="K427" s="27"/>
    </row>
    <row r="428" ht="15.75" customHeight="1">
      <c r="K428" s="27"/>
    </row>
    <row r="429" ht="15.75" customHeight="1">
      <c r="K429" s="27"/>
    </row>
    <row r="430" ht="15.75" customHeight="1">
      <c r="K430" s="27"/>
    </row>
    <row r="431" ht="15.75" customHeight="1">
      <c r="K431" s="27"/>
    </row>
    <row r="432" ht="15.75" customHeight="1">
      <c r="K432" s="27"/>
    </row>
    <row r="433" ht="15.75" customHeight="1">
      <c r="K433" s="27"/>
    </row>
    <row r="434" ht="15.75" customHeight="1">
      <c r="K434" s="27"/>
    </row>
    <row r="435" ht="15.75" customHeight="1">
      <c r="K435" s="27"/>
    </row>
    <row r="436" ht="15.75" customHeight="1">
      <c r="K436" s="27"/>
    </row>
    <row r="437" ht="15.75" customHeight="1">
      <c r="K437" s="27"/>
    </row>
    <row r="438" ht="15.75" customHeight="1">
      <c r="K438" s="27"/>
    </row>
    <row r="439" ht="15.75" customHeight="1">
      <c r="K439" s="27"/>
    </row>
    <row r="440" ht="15.75" customHeight="1">
      <c r="K440" s="27"/>
    </row>
    <row r="441" ht="15.75" customHeight="1">
      <c r="K441" s="27"/>
    </row>
    <row r="442" ht="15.75" customHeight="1">
      <c r="K442" s="27"/>
    </row>
    <row r="443" ht="15.75" customHeight="1">
      <c r="K443" s="27"/>
    </row>
    <row r="444" ht="15.75" customHeight="1">
      <c r="K444" s="27"/>
    </row>
    <row r="445" ht="15.75" customHeight="1">
      <c r="K445" s="27"/>
    </row>
    <row r="446" ht="15.75" customHeight="1">
      <c r="K446" s="27"/>
    </row>
    <row r="447" ht="15.75" customHeight="1">
      <c r="K447" s="27"/>
    </row>
    <row r="448" ht="15.75" customHeight="1">
      <c r="K448" s="27"/>
    </row>
    <row r="449" ht="15.75" customHeight="1">
      <c r="K449" s="27"/>
    </row>
    <row r="450" ht="15.75" customHeight="1">
      <c r="K450" s="27"/>
    </row>
    <row r="451" ht="15.75" customHeight="1">
      <c r="K451" s="27"/>
    </row>
    <row r="452" ht="15.75" customHeight="1">
      <c r="K452" s="27"/>
    </row>
    <row r="453" ht="15.75" customHeight="1">
      <c r="K453" s="27"/>
    </row>
    <row r="454" ht="15.75" customHeight="1">
      <c r="K454" s="27"/>
    </row>
    <row r="455" ht="15.75" customHeight="1">
      <c r="K455" s="27"/>
    </row>
    <row r="456" ht="15.75" customHeight="1">
      <c r="K456" s="27"/>
    </row>
    <row r="457" ht="15.75" customHeight="1">
      <c r="K457" s="27"/>
    </row>
    <row r="458" ht="15.75" customHeight="1">
      <c r="K458" s="27"/>
    </row>
    <row r="459" ht="15.75" customHeight="1">
      <c r="K459" s="27"/>
    </row>
    <row r="460" ht="15.75" customHeight="1">
      <c r="K460" s="27"/>
    </row>
    <row r="461" ht="15.75" customHeight="1">
      <c r="K461" s="27"/>
    </row>
    <row r="462" ht="15.75" customHeight="1">
      <c r="K462" s="27"/>
    </row>
    <row r="463" ht="15.75" customHeight="1">
      <c r="K463" s="27"/>
    </row>
    <row r="464" ht="15.75" customHeight="1">
      <c r="K464" s="27"/>
    </row>
    <row r="465" ht="15.75" customHeight="1">
      <c r="K465" s="27"/>
    </row>
    <row r="466" ht="15.75" customHeight="1">
      <c r="K466" s="27"/>
    </row>
    <row r="467" ht="15.75" customHeight="1">
      <c r="K467" s="27"/>
    </row>
    <row r="468" ht="15.75" customHeight="1">
      <c r="K468" s="27"/>
    </row>
    <row r="469" ht="15.75" customHeight="1">
      <c r="K469" s="27"/>
    </row>
    <row r="470" ht="15.75" customHeight="1">
      <c r="K470" s="27"/>
    </row>
    <row r="471" ht="15.75" customHeight="1">
      <c r="K471" s="27"/>
    </row>
    <row r="472" ht="15.75" customHeight="1">
      <c r="K472" s="27"/>
    </row>
    <row r="473" ht="15.75" customHeight="1">
      <c r="K473" s="27"/>
    </row>
    <row r="474" ht="15.75" customHeight="1">
      <c r="K474" s="27"/>
    </row>
    <row r="475" ht="15.75" customHeight="1">
      <c r="K475" s="27"/>
    </row>
    <row r="476" ht="15.75" customHeight="1">
      <c r="K476" s="27"/>
    </row>
    <row r="477" ht="15.75" customHeight="1">
      <c r="K477" s="27"/>
    </row>
    <row r="478" ht="15.75" customHeight="1">
      <c r="K478" s="27"/>
    </row>
    <row r="479" ht="15.75" customHeight="1">
      <c r="K479" s="27"/>
    </row>
    <row r="480" ht="15.75" customHeight="1">
      <c r="K480" s="27"/>
    </row>
    <row r="481" ht="15.75" customHeight="1">
      <c r="K481" s="27"/>
    </row>
    <row r="482" ht="15.75" customHeight="1">
      <c r="K482" s="27"/>
    </row>
    <row r="483" ht="15.75" customHeight="1">
      <c r="K483" s="27"/>
    </row>
    <row r="484" ht="15.75" customHeight="1">
      <c r="K484" s="27"/>
    </row>
    <row r="485" ht="15.75" customHeight="1">
      <c r="K485" s="27"/>
    </row>
    <row r="486" ht="15.75" customHeight="1">
      <c r="K486" s="27"/>
    </row>
    <row r="487" ht="15.75" customHeight="1">
      <c r="K487" s="27"/>
    </row>
    <row r="488" ht="15.75" customHeight="1">
      <c r="K488" s="27"/>
    </row>
    <row r="489" ht="15.75" customHeight="1">
      <c r="K489" s="27"/>
    </row>
    <row r="490" ht="15.75" customHeight="1">
      <c r="K490" s="27"/>
    </row>
    <row r="491" ht="15.75" customHeight="1">
      <c r="K491" s="27"/>
    </row>
    <row r="492" ht="15.75" customHeight="1">
      <c r="K492" s="27"/>
    </row>
    <row r="493" ht="15.75" customHeight="1">
      <c r="K493" s="27"/>
    </row>
    <row r="494" ht="15.75" customHeight="1">
      <c r="K494" s="27"/>
    </row>
    <row r="495" ht="15.75" customHeight="1">
      <c r="K495" s="27"/>
    </row>
    <row r="496" ht="15.75" customHeight="1">
      <c r="K496" s="27"/>
    </row>
    <row r="497" ht="15.75" customHeight="1">
      <c r="K497" s="27"/>
    </row>
    <row r="498" ht="15.75" customHeight="1">
      <c r="K498" s="27"/>
    </row>
    <row r="499" ht="15.75" customHeight="1">
      <c r="K499" s="27"/>
    </row>
    <row r="500" ht="15.75" customHeight="1">
      <c r="K500" s="27"/>
    </row>
    <row r="501" ht="15.75" customHeight="1">
      <c r="K501" s="27"/>
    </row>
    <row r="502" ht="15.75" customHeight="1">
      <c r="K502" s="27"/>
    </row>
    <row r="503" ht="15.75" customHeight="1">
      <c r="K503" s="27"/>
    </row>
    <row r="504" ht="15.75" customHeight="1">
      <c r="K504" s="27"/>
    </row>
    <row r="505" ht="15.75" customHeight="1">
      <c r="K505" s="27"/>
    </row>
    <row r="506" ht="15.75" customHeight="1">
      <c r="K506" s="27"/>
    </row>
    <row r="507" ht="15.75" customHeight="1">
      <c r="K507" s="27"/>
    </row>
    <row r="508" ht="15.75" customHeight="1">
      <c r="K508" s="27"/>
    </row>
    <row r="509" ht="15.75" customHeight="1">
      <c r="K509" s="27"/>
    </row>
    <row r="510" ht="15.75" customHeight="1">
      <c r="K510" s="27"/>
    </row>
    <row r="511" ht="15.75" customHeight="1">
      <c r="K511" s="27"/>
    </row>
    <row r="512" ht="15.75" customHeight="1">
      <c r="K512" s="27"/>
    </row>
    <row r="513" ht="15.75" customHeight="1">
      <c r="K513" s="27"/>
    </row>
    <row r="514" ht="15.75" customHeight="1">
      <c r="K514" s="27"/>
    </row>
    <row r="515" ht="15.75" customHeight="1">
      <c r="K515" s="27"/>
    </row>
    <row r="516" ht="15.75" customHeight="1">
      <c r="K516" s="27"/>
    </row>
    <row r="517" ht="15.75" customHeight="1">
      <c r="K517" s="27"/>
    </row>
    <row r="518" ht="15.75" customHeight="1">
      <c r="K518" s="27"/>
    </row>
    <row r="519" ht="15.75" customHeight="1">
      <c r="K519" s="27"/>
    </row>
    <row r="520" ht="15.75" customHeight="1">
      <c r="K520" s="27"/>
    </row>
    <row r="521" ht="15.75" customHeight="1">
      <c r="K521" s="27"/>
    </row>
    <row r="522" ht="15.75" customHeight="1">
      <c r="K522" s="27"/>
    </row>
    <row r="523" ht="15.75" customHeight="1">
      <c r="K523" s="27"/>
    </row>
    <row r="524" ht="15.75" customHeight="1">
      <c r="K524" s="27"/>
    </row>
    <row r="525" ht="15.75" customHeight="1">
      <c r="K525" s="27"/>
    </row>
    <row r="526" ht="15.75" customHeight="1">
      <c r="K526" s="27"/>
    </row>
    <row r="527" ht="15.75" customHeight="1">
      <c r="K527" s="27"/>
    </row>
    <row r="528" ht="15.75" customHeight="1">
      <c r="K528" s="27"/>
    </row>
    <row r="529" ht="15.75" customHeight="1">
      <c r="K529" s="27"/>
    </row>
    <row r="530" ht="15.75" customHeight="1">
      <c r="K530" s="27"/>
    </row>
    <row r="531" ht="15.75" customHeight="1">
      <c r="K531" s="27"/>
    </row>
    <row r="532" ht="15.75" customHeight="1">
      <c r="K532" s="27"/>
    </row>
    <row r="533" ht="15.75" customHeight="1">
      <c r="K533" s="27"/>
    </row>
    <row r="534" ht="15.75" customHeight="1">
      <c r="K534" s="27"/>
    </row>
    <row r="535" ht="15.75" customHeight="1">
      <c r="K535" s="27"/>
    </row>
    <row r="536" ht="15.75" customHeight="1">
      <c r="K536" s="27"/>
    </row>
    <row r="537" ht="15.75" customHeight="1">
      <c r="K537" s="27"/>
    </row>
    <row r="538" ht="15.75" customHeight="1">
      <c r="K538" s="27"/>
    </row>
    <row r="539" ht="15.75" customHeight="1">
      <c r="K539" s="27"/>
    </row>
    <row r="540" ht="15.75" customHeight="1">
      <c r="K540" s="27"/>
    </row>
    <row r="541" ht="15.75" customHeight="1">
      <c r="K541" s="27"/>
    </row>
    <row r="542" ht="15.75" customHeight="1">
      <c r="K542" s="27"/>
    </row>
    <row r="543" ht="15.75" customHeight="1">
      <c r="K543" s="27"/>
    </row>
    <row r="544" ht="15.75" customHeight="1">
      <c r="K544" s="27"/>
    </row>
    <row r="545" ht="15.75" customHeight="1">
      <c r="K545" s="27"/>
    </row>
    <row r="546" ht="15.75" customHeight="1">
      <c r="K546" s="27"/>
    </row>
    <row r="547" ht="15.75" customHeight="1">
      <c r="K547" s="27"/>
    </row>
    <row r="548" ht="15.75" customHeight="1">
      <c r="K548" s="27"/>
    </row>
    <row r="549" ht="15.75" customHeight="1">
      <c r="K549" s="27"/>
    </row>
    <row r="550" ht="15.75" customHeight="1">
      <c r="K550" s="27"/>
    </row>
    <row r="551" ht="15.75" customHeight="1">
      <c r="K551" s="27"/>
    </row>
    <row r="552" ht="15.75" customHeight="1">
      <c r="K552" s="27"/>
    </row>
    <row r="553" ht="15.75" customHeight="1">
      <c r="K553" s="27"/>
    </row>
    <row r="554" ht="15.75" customHeight="1">
      <c r="K554" s="27"/>
    </row>
    <row r="555" ht="15.75" customHeight="1">
      <c r="K555" s="27"/>
    </row>
    <row r="556" ht="15.75" customHeight="1">
      <c r="K556" s="27"/>
    </row>
    <row r="557" ht="15.75" customHeight="1">
      <c r="K557" s="27"/>
    </row>
    <row r="558" ht="15.75" customHeight="1">
      <c r="K558" s="27"/>
    </row>
    <row r="559" ht="15.75" customHeight="1">
      <c r="K559" s="27"/>
    </row>
    <row r="560" ht="15.75" customHeight="1">
      <c r="K560" s="27"/>
    </row>
    <row r="561" ht="15.75" customHeight="1">
      <c r="K561" s="27"/>
    </row>
    <row r="562" ht="15.75" customHeight="1">
      <c r="K562" s="27"/>
    </row>
    <row r="563" ht="15.75" customHeight="1">
      <c r="K563" s="27"/>
    </row>
    <row r="564" ht="15.75" customHeight="1">
      <c r="K564" s="27"/>
    </row>
    <row r="565" ht="15.75" customHeight="1">
      <c r="K565" s="27"/>
    </row>
    <row r="566" ht="15.75" customHeight="1">
      <c r="K566" s="27"/>
    </row>
    <row r="567" ht="15.75" customHeight="1">
      <c r="K567" s="27"/>
    </row>
    <row r="568" ht="15.75" customHeight="1">
      <c r="K568" s="27"/>
    </row>
    <row r="569" ht="15.75" customHeight="1">
      <c r="K569" s="27"/>
    </row>
    <row r="570" ht="15.75" customHeight="1">
      <c r="K570" s="27"/>
    </row>
    <row r="571" ht="15.75" customHeight="1">
      <c r="K571" s="27"/>
    </row>
    <row r="572" ht="15.75" customHeight="1">
      <c r="K572" s="27"/>
    </row>
    <row r="573" ht="15.75" customHeight="1">
      <c r="K573" s="27"/>
    </row>
    <row r="574" ht="15.75" customHeight="1">
      <c r="K574" s="27"/>
    </row>
    <row r="575" ht="15.75" customHeight="1">
      <c r="K575" s="27"/>
    </row>
    <row r="576" ht="15.75" customHeight="1">
      <c r="K576" s="27"/>
    </row>
    <row r="577" ht="15.75" customHeight="1">
      <c r="K577" s="27"/>
    </row>
    <row r="578" ht="15.75" customHeight="1">
      <c r="K578" s="27"/>
    </row>
    <row r="579" ht="15.75" customHeight="1">
      <c r="K579" s="27"/>
    </row>
    <row r="580" ht="15.75" customHeight="1">
      <c r="K580" s="27"/>
    </row>
    <row r="581" ht="15.75" customHeight="1">
      <c r="K581" s="27"/>
    </row>
    <row r="582" ht="15.75" customHeight="1">
      <c r="K582" s="27"/>
    </row>
    <row r="583" ht="15.75" customHeight="1">
      <c r="K583" s="27"/>
    </row>
    <row r="584" ht="15.75" customHeight="1">
      <c r="K584" s="27"/>
    </row>
    <row r="585" ht="15.75" customHeight="1">
      <c r="K585" s="27"/>
    </row>
    <row r="586" ht="15.75" customHeight="1">
      <c r="K586" s="27"/>
    </row>
    <row r="587" ht="15.75" customHeight="1">
      <c r="K587" s="27"/>
    </row>
    <row r="588" ht="15.75" customHeight="1">
      <c r="K588" s="27"/>
    </row>
    <row r="589" ht="15.75" customHeight="1">
      <c r="K589" s="27"/>
    </row>
    <row r="590" ht="15.75" customHeight="1">
      <c r="K590" s="27"/>
    </row>
    <row r="591" ht="15.75" customHeight="1">
      <c r="K591" s="27"/>
    </row>
    <row r="592" ht="15.75" customHeight="1">
      <c r="K592" s="27"/>
    </row>
    <row r="593" ht="15.75" customHeight="1">
      <c r="K593" s="27"/>
    </row>
    <row r="594" ht="15.75" customHeight="1">
      <c r="K594" s="27"/>
    </row>
    <row r="595" ht="15.75" customHeight="1">
      <c r="K595" s="27"/>
    </row>
    <row r="596" ht="15.75" customHeight="1">
      <c r="K596" s="27"/>
    </row>
    <row r="597" ht="15.75" customHeight="1">
      <c r="K597" s="27"/>
    </row>
    <row r="598" ht="15.75" customHeight="1">
      <c r="K598" s="27"/>
    </row>
    <row r="599" ht="15.75" customHeight="1">
      <c r="K599" s="27"/>
    </row>
    <row r="600" ht="15.75" customHeight="1">
      <c r="K600" s="27"/>
    </row>
    <row r="601" ht="15.75" customHeight="1">
      <c r="K601" s="27"/>
    </row>
    <row r="602" ht="15.75" customHeight="1">
      <c r="K602" s="27"/>
    </row>
    <row r="603" ht="15.75" customHeight="1">
      <c r="K603" s="27"/>
    </row>
    <row r="604" ht="15.75" customHeight="1">
      <c r="K604" s="27"/>
    </row>
    <row r="605" ht="15.75" customHeight="1">
      <c r="K605" s="27"/>
    </row>
    <row r="606" ht="15.75" customHeight="1">
      <c r="K606" s="27"/>
    </row>
    <row r="607" ht="15.75" customHeight="1">
      <c r="K607" s="27"/>
    </row>
    <row r="608" ht="15.75" customHeight="1">
      <c r="K608" s="27"/>
    </row>
    <row r="609" ht="15.75" customHeight="1">
      <c r="K609" s="27"/>
    </row>
    <row r="610" ht="15.75" customHeight="1">
      <c r="K610" s="27"/>
    </row>
    <row r="611" ht="15.75" customHeight="1">
      <c r="K611" s="27"/>
    </row>
    <row r="612" ht="15.75" customHeight="1">
      <c r="K612" s="27"/>
    </row>
    <row r="613" ht="15.75" customHeight="1">
      <c r="K613" s="27"/>
    </row>
    <row r="614" ht="15.75" customHeight="1">
      <c r="K614" s="27"/>
    </row>
    <row r="615" ht="15.75" customHeight="1">
      <c r="K615" s="27"/>
    </row>
    <row r="616" ht="15.75" customHeight="1">
      <c r="K616" s="27"/>
    </row>
    <row r="617" ht="15.75" customHeight="1">
      <c r="K617" s="27"/>
    </row>
    <row r="618" ht="15.75" customHeight="1">
      <c r="K618" s="27"/>
    </row>
    <row r="619" ht="15.75" customHeight="1">
      <c r="K619" s="27"/>
    </row>
    <row r="620" ht="15.75" customHeight="1">
      <c r="K620" s="27"/>
    </row>
    <row r="621" ht="15.75" customHeight="1">
      <c r="K621" s="27"/>
    </row>
    <row r="622" ht="15.75" customHeight="1">
      <c r="K622" s="27"/>
    </row>
    <row r="623" ht="15.75" customHeight="1">
      <c r="K623" s="27"/>
    </row>
    <row r="624" ht="15.75" customHeight="1">
      <c r="K624" s="27"/>
    </row>
    <row r="625" ht="15.75" customHeight="1">
      <c r="K625" s="27"/>
    </row>
    <row r="626" ht="15.75" customHeight="1">
      <c r="K626" s="27"/>
    </row>
    <row r="627" ht="15.75" customHeight="1">
      <c r="K627" s="27"/>
    </row>
    <row r="628" ht="15.75" customHeight="1">
      <c r="K628" s="27"/>
    </row>
    <row r="629" ht="15.75" customHeight="1">
      <c r="K629" s="27"/>
    </row>
    <row r="630" ht="15.75" customHeight="1">
      <c r="K630" s="27"/>
    </row>
    <row r="631" ht="15.75" customHeight="1">
      <c r="K631" s="27"/>
    </row>
    <row r="632" ht="15.75" customHeight="1">
      <c r="K632" s="27"/>
    </row>
    <row r="633" ht="15.75" customHeight="1">
      <c r="K633" s="27"/>
    </row>
    <row r="634" ht="15.75" customHeight="1">
      <c r="K634" s="27"/>
    </row>
    <row r="635" ht="15.75" customHeight="1">
      <c r="K635" s="27"/>
    </row>
    <row r="636" ht="15.75" customHeight="1">
      <c r="K636" s="27"/>
    </row>
    <row r="637" ht="15.75" customHeight="1">
      <c r="K637" s="27"/>
    </row>
    <row r="638" ht="15.75" customHeight="1">
      <c r="K638" s="27"/>
    </row>
    <row r="639" ht="15.75" customHeight="1">
      <c r="K639" s="27"/>
    </row>
    <row r="640" ht="15.75" customHeight="1">
      <c r="K640" s="27"/>
    </row>
    <row r="641" ht="15.75" customHeight="1">
      <c r="K641" s="27"/>
    </row>
    <row r="642" ht="15.75" customHeight="1">
      <c r="K642" s="27"/>
    </row>
    <row r="643" ht="15.75" customHeight="1">
      <c r="K643" s="27"/>
    </row>
    <row r="644" ht="15.75" customHeight="1">
      <c r="K644" s="27"/>
    </row>
    <row r="645" ht="15.75" customHeight="1">
      <c r="K645" s="27"/>
    </row>
    <row r="646" ht="15.75" customHeight="1">
      <c r="K646" s="27"/>
    </row>
    <row r="647" ht="15.75" customHeight="1">
      <c r="K647" s="27"/>
    </row>
    <row r="648" ht="15.75" customHeight="1">
      <c r="K648" s="27"/>
    </row>
    <row r="649" ht="15.75" customHeight="1">
      <c r="K649" s="27"/>
    </row>
    <row r="650" ht="15.75" customHeight="1">
      <c r="K650" s="27"/>
    </row>
    <row r="651" ht="15.75" customHeight="1">
      <c r="K651" s="27"/>
    </row>
    <row r="652" ht="15.75" customHeight="1">
      <c r="K652" s="27"/>
    </row>
    <row r="653" ht="15.75" customHeight="1">
      <c r="K653" s="27"/>
    </row>
    <row r="654" ht="15.75" customHeight="1">
      <c r="K654" s="27"/>
    </row>
    <row r="655" ht="15.75" customHeight="1">
      <c r="K655" s="27"/>
    </row>
    <row r="656" ht="15.75" customHeight="1">
      <c r="K656" s="27"/>
    </row>
    <row r="657" ht="15.75" customHeight="1">
      <c r="K657" s="27"/>
    </row>
    <row r="658" ht="15.75" customHeight="1">
      <c r="K658" s="27"/>
    </row>
    <row r="659" ht="15.75" customHeight="1">
      <c r="K659" s="27"/>
    </row>
    <row r="660" ht="15.75" customHeight="1">
      <c r="K660" s="27"/>
    </row>
    <row r="661" ht="15.75" customHeight="1">
      <c r="K661" s="27"/>
    </row>
    <row r="662" ht="15.75" customHeight="1">
      <c r="K662" s="27"/>
    </row>
    <row r="663" ht="15.75" customHeight="1">
      <c r="K663" s="27"/>
    </row>
    <row r="664" ht="15.75" customHeight="1">
      <c r="K664" s="27"/>
    </row>
    <row r="665" ht="15.75" customHeight="1">
      <c r="K665" s="27"/>
    </row>
    <row r="666" ht="15.75" customHeight="1">
      <c r="K666" s="27"/>
    </row>
    <row r="667" ht="15.75" customHeight="1">
      <c r="K667" s="27"/>
    </row>
    <row r="668" ht="15.75" customHeight="1">
      <c r="K668" s="27"/>
    </row>
    <row r="669" ht="15.75" customHeight="1">
      <c r="K669" s="27"/>
    </row>
    <row r="670" ht="15.75" customHeight="1">
      <c r="K670" s="27"/>
    </row>
    <row r="671" ht="15.75" customHeight="1">
      <c r="K671" s="27"/>
    </row>
    <row r="672" ht="15.75" customHeight="1">
      <c r="K672" s="27"/>
    </row>
    <row r="673" ht="15.75" customHeight="1">
      <c r="K673" s="27"/>
    </row>
    <row r="674" ht="15.75" customHeight="1">
      <c r="K674" s="27"/>
    </row>
    <row r="675" ht="15.75" customHeight="1">
      <c r="K675" s="27"/>
    </row>
    <row r="676" ht="15.75" customHeight="1">
      <c r="K676" s="27"/>
    </row>
    <row r="677" ht="15.75" customHeight="1">
      <c r="K677" s="27"/>
    </row>
    <row r="678" ht="15.75" customHeight="1">
      <c r="K678" s="27"/>
    </row>
    <row r="679" ht="15.75" customHeight="1">
      <c r="K679" s="27"/>
    </row>
    <row r="680" ht="15.75" customHeight="1">
      <c r="K680" s="27"/>
    </row>
    <row r="681" ht="15.75" customHeight="1">
      <c r="K681" s="27"/>
    </row>
    <row r="682" ht="15.75" customHeight="1">
      <c r="K682" s="27"/>
    </row>
    <row r="683" ht="15.75" customHeight="1">
      <c r="K683" s="27"/>
    </row>
    <row r="684" ht="15.75" customHeight="1">
      <c r="K684" s="27"/>
    </row>
    <row r="685" ht="15.75" customHeight="1">
      <c r="K685" s="27"/>
    </row>
    <row r="686" ht="15.75" customHeight="1">
      <c r="K686" s="27"/>
    </row>
    <row r="687" ht="15.75" customHeight="1">
      <c r="K687" s="27"/>
    </row>
    <row r="688" ht="15.75" customHeight="1">
      <c r="K688" s="27"/>
    </row>
    <row r="689" ht="15.75" customHeight="1">
      <c r="K689" s="27"/>
    </row>
    <row r="690" ht="15.75" customHeight="1">
      <c r="K690" s="27"/>
    </row>
    <row r="691" ht="15.75" customHeight="1">
      <c r="K691" s="27"/>
    </row>
    <row r="692" ht="15.75" customHeight="1">
      <c r="K692" s="27"/>
    </row>
    <row r="693" ht="15.75" customHeight="1">
      <c r="K693" s="27"/>
    </row>
    <row r="694" ht="15.75" customHeight="1">
      <c r="K694" s="27"/>
    </row>
    <row r="695" ht="15.75" customHeight="1">
      <c r="K695" s="27"/>
    </row>
    <row r="696" ht="15.75" customHeight="1">
      <c r="K696" s="27"/>
    </row>
    <row r="697" ht="15.75" customHeight="1">
      <c r="K697" s="27"/>
    </row>
    <row r="698" ht="15.75" customHeight="1">
      <c r="K698" s="27"/>
    </row>
    <row r="699" ht="15.75" customHeight="1">
      <c r="K699" s="27"/>
    </row>
    <row r="700" ht="15.75" customHeight="1">
      <c r="K700" s="27"/>
    </row>
    <row r="701" ht="15.75" customHeight="1">
      <c r="K701" s="27"/>
    </row>
    <row r="702" ht="15.75" customHeight="1">
      <c r="K702" s="27"/>
    </row>
    <row r="703" ht="15.75" customHeight="1">
      <c r="K703" s="27"/>
    </row>
    <row r="704" ht="15.75" customHeight="1">
      <c r="K704" s="27"/>
    </row>
    <row r="705" ht="15.75" customHeight="1">
      <c r="K705" s="27"/>
    </row>
    <row r="706" ht="15.75" customHeight="1">
      <c r="K706" s="27"/>
    </row>
    <row r="707" ht="15.75" customHeight="1">
      <c r="K707" s="27"/>
    </row>
    <row r="708" ht="15.75" customHeight="1">
      <c r="K708" s="27"/>
    </row>
    <row r="709" ht="15.75" customHeight="1">
      <c r="K709" s="27"/>
    </row>
    <row r="710" ht="15.75" customHeight="1">
      <c r="K710" s="27"/>
    </row>
    <row r="711" ht="15.75" customHeight="1">
      <c r="K711" s="27"/>
    </row>
    <row r="712" ht="15.75" customHeight="1">
      <c r="K712" s="27"/>
    </row>
    <row r="713" ht="15.75" customHeight="1">
      <c r="K713" s="27"/>
    </row>
    <row r="714" ht="15.75" customHeight="1">
      <c r="K714" s="27"/>
    </row>
    <row r="715" ht="15.75" customHeight="1">
      <c r="K715" s="27"/>
    </row>
    <row r="716" ht="15.75" customHeight="1">
      <c r="K716" s="27"/>
    </row>
    <row r="717" ht="15.75" customHeight="1">
      <c r="K717" s="27"/>
    </row>
    <row r="718" ht="15.75" customHeight="1">
      <c r="K718" s="27"/>
    </row>
    <row r="719" ht="15.75" customHeight="1">
      <c r="K719" s="27"/>
    </row>
    <row r="720" ht="15.75" customHeight="1">
      <c r="K720" s="27"/>
    </row>
    <row r="721" ht="15.75" customHeight="1">
      <c r="K721" s="27"/>
    </row>
    <row r="722" ht="15.75" customHeight="1">
      <c r="K722" s="27"/>
    </row>
    <row r="723" ht="15.75" customHeight="1">
      <c r="K723" s="27"/>
    </row>
    <row r="724" ht="15.75" customHeight="1">
      <c r="K724" s="27"/>
    </row>
    <row r="725" ht="15.75" customHeight="1">
      <c r="K725" s="27"/>
    </row>
    <row r="726" ht="15.75" customHeight="1">
      <c r="K726" s="27"/>
    </row>
    <row r="727" ht="15.75" customHeight="1">
      <c r="K727" s="27"/>
    </row>
    <row r="728" ht="15.75" customHeight="1">
      <c r="K728" s="27"/>
    </row>
    <row r="729" ht="15.75" customHeight="1">
      <c r="K729" s="27"/>
    </row>
    <row r="730" ht="15.75" customHeight="1">
      <c r="K730" s="27"/>
    </row>
    <row r="731" ht="15.75" customHeight="1">
      <c r="K731" s="27"/>
    </row>
    <row r="732" ht="15.75" customHeight="1">
      <c r="K732" s="27"/>
    </row>
    <row r="733" ht="15.75" customHeight="1">
      <c r="K733" s="27"/>
    </row>
    <row r="734" ht="15.75" customHeight="1">
      <c r="K734" s="27"/>
    </row>
    <row r="735" ht="15.75" customHeight="1">
      <c r="K735" s="27"/>
    </row>
    <row r="736" ht="15.75" customHeight="1">
      <c r="K736" s="27"/>
    </row>
    <row r="737" ht="15.75" customHeight="1">
      <c r="K737" s="27"/>
    </row>
    <row r="738" ht="15.75" customHeight="1">
      <c r="K738" s="27"/>
    </row>
    <row r="739" ht="15.75" customHeight="1">
      <c r="K739" s="27"/>
    </row>
    <row r="740" ht="15.75" customHeight="1">
      <c r="K740" s="27"/>
    </row>
    <row r="741" ht="15.75" customHeight="1">
      <c r="K741" s="27"/>
    </row>
    <row r="742" ht="15.75" customHeight="1">
      <c r="K742" s="27"/>
    </row>
    <row r="743" ht="15.75" customHeight="1">
      <c r="K743" s="27"/>
    </row>
    <row r="744" ht="15.75" customHeight="1">
      <c r="K744" s="27"/>
    </row>
    <row r="745" ht="15.75" customHeight="1">
      <c r="K745" s="27"/>
    </row>
    <row r="746" ht="15.75" customHeight="1">
      <c r="K746" s="27"/>
    </row>
    <row r="747" ht="15.75" customHeight="1">
      <c r="K747" s="27"/>
    </row>
    <row r="748" ht="15.75" customHeight="1">
      <c r="K748" s="27"/>
    </row>
    <row r="749" ht="15.75" customHeight="1">
      <c r="K749" s="27"/>
    </row>
    <row r="750" ht="15.75" customHeight="1">
      <c r="K750" s="27"/>
    </row>
    <row r="751" ht="15.75" customHeight="1">
      <c r="K751" s="27"/>
    </row>
    <row r="752" ht="15.75" customHeight="1">
      <c r="K752" s="27"/>
    </row>
    <row r="753" ht="15.75" customHeight="1">
      <c r="K753" s="27"/>
    </row>
    <row r="754" ht="15.75" customHeight="1">
      <c r="K754" s="27"/>
    </row>
    <row r="755" ht="15.75" customHeight="1">
      <c r="K755" s="27"/>
    </row>
    <row r="756" ht="15.75" customHeight="1">
      <c r="K756" s="27"/>
    </row>
    <row r="757" ht="15.75" customHeight="1">
      <c r="K757" s="27"/>
    </row>
    <row r="758" ht="15.75" customHeight="1">
      <c r="K758" s="27"/>
    </row>
    <row r="759" ht="15.75" customHeight="1">
      <c r="K759" s="27"/>
    </row>
    <row r="760" ht="15.75" customHeight="1">
      <c r="K760" s="27"/>
    </row>
    <row r="761" ht="15.75" customHeight="1">
      <c r="K761" s="27"/>
    </row>
    <row r="762" ht="15.75" customHeight="1">
      <c r="K762" s="27"/>
    </row>
    <row r="763" ht="15.75" customHeight="1">
      <c r="K763" s="27"/>
    </row>
    <row r="764" ht="15.75" customHeight="1">
      <c r="K764" s="27"/>
    </row>
    <row r="765" ht="15.75" customHeight="1">
      <c r="K765" s="27"/>
    </row>
    <row r="766" ht="15.75" customHeight="1">
      <c r="K766" s="27"/>
    </row>
    <row r="767" ht="15.75" customHeight="1">
      <c r="K767" s="27"/>
    </row>
    <row r="768" ht="15.75" customHeight="1">
      <c r="K768" s="27"/>
    </row>
    <row r="769" ht="15.75" customHeight="1">
      <c r="K769" s="27"/>
    </row>
    <row r="770" ht="15.75" customHeight="1">
      <c r="K770" s="27"/>
    </row>
    <row r="771" ht="15.75" customHeight="1">
      <c r="K771" s="27"/>
    </row>
    <row r="772" ht="15.75" customHeight="1">
      <c r="K772" s="27"/>
    </row>
    <row r="773" ht="15.75" customHeight="1">
      <c r="K773" s="27"/>
    </row>
    <row r="774" ht="15.75" customHeight="1">
      <c r="K774" s="27"/>
    </row>
    <row r="775" ht="15.75" customHeight="1">
      <c r="K775" s="27"/>
    </row>
    <row r="776" ht="15.75" customHeight="1">
      <c r="K776" s="27"/>
    </row>
    <row r="777" ht="15.75" customHeight="1">
      <c r="K777" s="27"/>
    </row>
    <row r="778" ht="15.75" customHeight="1">
      <c r="K778" s="27"/>
    </row>
    <row r="779" ht="15.75" customHeight="1">
      <c r="K779" s="27"/>
    </row>
    <row r="780" ht="15.75" customHeight="1">
      <c r="K780" s="27"/>
    </row>
    <row r="781" ht="15.75" customHeight="1">
      <c r="K781" s="27"/>
    </row>
    <row r="782" ht="15.75" customHeight="1">
      <c r="K782" s="27"/>
    </row>
    <row r="783" ht="15.75" customHeight="1">
      <c r="K783" s="27"/>
    </row>
    <row r="784" ht="15.75" customHeight="1">
      <c r="K784" s="27"/>
    </row>
    <row r="785" ht="15.75" customHeight="1">
      <c r="K785" s="27"/>
    </row>
    <row r="786" ht="15.75" customHeight="1">
      <c r="K786" s="27"/>
    </row>
    <row r="787" ht="15.75" customHeight="1">
      <c r="K787" s="27"/>
    </row>
    <row r="788" ht="15.75" customHeight="1">
      <c r="K788" s="27"/>
    </row>
    <row r="789" ht="15.75" customHeight="1">
      <c r="K789" s="27"/>
    </row>
    <row r="790" ht="15.75" customHeight="1">
      <c r="K790" s="27"/>
    </row>
    <row r="791" ht="15.75" customHeight="1">
      <c r="K791" s="27"/>
    </row>
    <row r="792" ht="15.75" customHeight="1">
      <c r="K792" s="27"/>
    </row>
    <row r="793" ht="15.75" customHeight="1">
      <c r="K793" s="27"/>
    </row>
    <row r="794" ht="15.75" customHeight="1">
      <c r="K794" s="27"/>
    </row>
    <row r="795" ht="15.75" customHeight="1">
      <c r="K795" s="27"/>
    </row>
    <row r="796" ht="15.75" customHeight="1">
      <c r="K796" s="27"/>
    </row>
    <row r="797" ht="15.75" customHeight="1">
      <c r="K797" s="27"/>
    </row>
    <row r="798" ht="15.75" customHeight="1">
      <c r="K798" s="27"/>
    </row>
    <row r="799" ht="15.75" customHeight="1">
      <c r="K799" s="27"/>
    </row>
    <row r="800" ht="15.75" customHeight="1">
      <c r="K800" s="27"/>
    </row>
    <row r="801" ht="15.75" customHeight="1">
      <c r="K801" s="27"/>
    </row>
    <row r="802" ht="15.75" customHeight="1">
      <c r="K802" s="27"/>
    </row>
    <row r="803" ht="15.75" customHeight="1">
      <c r="K803" s="27"/>
    </row>
    <row r="804" ht="15.75" customHeight="1">
      <c r="K804" s="27"/>
    </row>
    <row r="805" ht="15.75" customHeight="1">
      <c r="K805" s="27"/>
    </row>
    <row r="806" ht="15.75" customHeight="1">
      <c r="K806" s="27"/>
    </row>
    <row r="807" ht="15.75" customHeight="1">
      <c r="K807" s="27"/>
    </row>
    <row r="808" ht="15.75" customHeight="1">
      <c r="K808" s="27"/>
    </row>
    <row r="809" ht="15.75" customHeight="1">
      <c r="K809" s="27"/>
    </row>
    <row r="810" ht="15.75" customHeight="1">
      <c r="K810" s="27"/>
    </row>
    <row r="811" ht="15.75" customHeight="1">
      <c r="K811" s="27"/>
    </row>
    <row r="812" ht="15.75" customHeight="1">
      <c r="K812" s="27"/>
    </row>
    <row r="813" ht="15.75" customHeight="1">
      <c r="K813" s="27"/>
    </row>
    <row r="814" ht="15.75" customHeight="1">
      <c r="K814" s="27"/>
    </row>
    <row r="815" ht="15.75" customHeight="1">
      <c r="K815" s="27"/>
    </row>
    <row r="816" ht="15.75" customHeight="1">
      <c r="K816" s="27"/>
    </row>
    <row r="817" ht="15.75" customHeight="1">
      <c r="K817" s="27"/>
    </row>
    <row r="818" ht="15.75" customHeight="1">
      <c r="K818" s="27"/>
    </row>
    <row r="819" ht="15.75" customHeight="1">
      <c r="K819" s="27"/>
    </row>
    <row r="820" ht="15.75" customHeight="1">
      <c r="K820" s="27"/>
    </row>
    <row r="821" ht="15.75" customHeight="1">
      <c r="K821" s="27"/>
    </row>
    <row r="822" ht="15.75" customHeight="1">
      <c r="K822" s="27"/>
    </row>
    <row r="823" ht="15.75" customHeight="1">
      <c r="K823" s="27"/>
    </row>
    <row r="824" ht="15.75" customHeight="1">
      <c r="K824" s="27"/>
    </row>
    <row r="825" ht="15.75" customHeight="1">
      <c r="K825" s="27"/>
    </row>
    <row r="826" ht="15.75" customHeight="1">
      <c r="K826" s="27"/>
    </row>
    <row r="827" ht="15.75" customHeight="1">
      <c r="K827" s="27"/>
    </row>
    <row r="828" ht="15.75" customHeight="1">
      <c r="K828" s="27"/>
    </row>
    <row r="829" ht="15.75" customHeight="1">
      <c r="K829" s="27"/>
    </row>
    <row r="830" ht="15.75" customHeight="1">
      <c r="K830" s="27"/>
    </row>
    <row r="831" ht="15.75" customHeight="1">
      <c r="K831" s="27"/>
    </row>
    <row r="832" ht="15.75" customHeight="1">
      <c r="K832" s="27"/>
    </row>
    <row r="833" ht="15.75" customHeight="1">
      <c r="K833" s="27"/>
    </row>
    <row r="834" ht="15.75" customHeight="1">
      <c r="K834" s="27"/>
    </row>
    <row r="835" ht="15.75" customHeight="1">
      <c r="K835" s="27"/>
    </row>
    <row r="836" ht="15.75" customHeight="1">
      <c r="K836" s="27"/>
    </row>
    <row r="837" ht="15.75" customHeight="1">
      <c r="K837" s="27"/>
    </row>
    <row r="838" ht="15.75" customHeight="1">
      <c r="K838" s="27"/>
    </row>
    <row r="839" ht="15.75" customHeight="1">
      <c r="K839" s="27"/>
    </row>
    <row r="840" ht="15.75" customHeight="1">
      <c r="K840" s="27"/>
    </row>
    <row r="841" ht="15.75" customHeight="1">
      <c r="K841" s="27"/>
    </row>
    <row r="842" ht="15.75" customHeight="1">
      <c r="K842" s="27"/>
    </row>
    <row r="843" ht="15.75" customHeight="1">
      <c r="K843" s="27"/>
    </row>
    <row r="844" ht="15.75" customHeight="1">
      <c r="K844" s="27"/>
    </row>
    <row r="845" ht="15.75" customHeight="1">
      <c r="K845" s="27"/>
    </row>
    <row r="846" ht="15.75" customHeight="1">
      <c r="K846" s="27"/>
    </row>
    <row r="847" ht="15.75" customHeight="1">
      <c r="K847" s="27"/>
    </row>
    <row r="848" ht="15.75" customHeight="1">
      <c r="K848" s="27"/>
    </row>
    <row r="849" ht="15.75" customHeight="1">
      <c r="K849" s="27"/>
    </row>
    <row r="850" ht="15.75" customHeight="1">
      <c r="K850" s="27"/>
    </row>
    <row r="851" ht="15.75" customHeight="1">
      <c r="K851" s="27"/>
    </row>
    <row r="852" ht="15.75" customHeight="1">
      <c r="K852" s="27"/>
    </row>
    <row r="853" ht="15.75" customHeight="1">
      <c r="K853" s="27"/>
    </row>
    <row r="854" ht="15.75" customHeight="1">
      <c r="K854" s="27"/>
    </row>
    <row r="855" ht="15.75" customHeight="1">
      <c r="K855" s="27"/>
    </row>
    <row r="856" ht="15.75" customHeight="1">
      <c r="K856" s="27"/>
    </row>
    <row r="857" ht="15.75" customHeight="1">
      <c r="K857" s="27"/>
    </row>
    <row r="858" ht="15.75" customHeight="1">
      <c r="K858" s="27"/>
    </row>
    <row r="859" ht="15.75" customHeight="1">
      <c r="K859" s="27"/>
    </row>
    <row r="860" ht="15.75" customHeight="1">
      <c r="K860" s="27"/>
    </row>
    <row r="861" ht="15.75" customHeight="1">
      <c r="K861" s="27"/>
    </row>
    <row r="862" ht="15.75" customHeight="1">
      <c r="K862" s="27"/>
    </row>
    <row r="863" ht="15.75" customHeight="1">
      <c r="K863" s="27"/>
    </row>
    <row r="864" ht="15.75" customHeight="1">
      <c r="K864" s="27"/>
    </row>
    <row r="865" ht="15.75" customHeight="1">
      <c r="K865" s="27"/>
    </row>
    <row r="866" ht="15.75" customHeight="1">
      <c r="K866" s="27"/>
    </row>
    <row r="867" ht="15.75" customHeight="1">
      <c r="K867" s="27"/>
    </row>
    <row r="868" ht="15.75" customHeight="1">
      <c r="K868" s="27"/>
    </row>
    <row r="869" ht="15.75" customHeight="1">
      <c r="K869" s="27"/>
    </row>
    <row r="870" ht="15.75" customHeight="1">
      <c r="K870" s="27"/>
    </row>
    <row r="871" ht="15.75" customHeight="1">
      <c r="K871" s="27"/>
    </row>
    <row r="872" ht="15.75" customHeight="1">
      <c r="K872" s="27"/>
    </row>
    <row r="873" ht="15.75" customHeight="1">
      <c r="K873" s="27"/>
    </row>
    <row r="874" ht="15.75" customHeight="1">
      <c r="K874" s="27"/>
    </row>
    <row r="875" ht="15.75" customHeight="1">
      <c r="K875" s="27"/>
    </row>
    <row r="876" ht="15.75" customHeight="1">
      <c r="K876" s="27"/>
    </row>
    <row r="877" ht="15.75" customHeight="1">
      <c r="K877" s="27"/>
    </row>
    <row r="878" ht="15.75" customHeight="1">
      <c r="K878" s="27"/>
    </row>
    <row r="879" ht="15.75" customHeight="1">
      <c r="K879" s="27"/>
    </row>
    <row r="880" ht="15.75" customHeight="1">
      <c r="K880" s="27"/>
    </row>
    <row r="881" ht="15.75" customHeight="1">
      <c r="K881" s="27"/>
    </row>
    <row r="882" ht="15.75" customHeight="1">
      <c r="K882" s="27"/>
    </row>
    <row r="883" ht="15.75" customHeight="1">
      <c r="K883" s="27"/>
    </row>
    <row r="884" ht="15.75" customHeight="1">
      <c r="K884" s="27"/>
    </row>
    <row r="885" ht="15.75" customHeight="1">
      <c r="K885" s="27"/>
    </row>
    <row r="886" ht="15.75" customHeight="1">
      <c r="K886" s="27"/>
    </row>
    <row r="887" ht="15.75" customHeight="1">
      <c r="K887" s="27"/>
    </row>
    <row r="888" ht="15.75" customHeight="1">
      <c r="K888" s="27"/>
    </row>
    <row r="889" ht="15.75" customHeight="1">
      <c r="K889" s="27"/>
    </row>
    <row r="890" ht="15.75" customHeight="1">
      <c r="K890" s="27"/>
    </row>
    <row r="891" ht="15.75" customHeight="1">
      <c r="K891" s="27"/>
    </row>
    <row r="892" ht="15.75" customHeight="1">
      <c r="K892" s="27"/>
    </row>
    <row r="893" ht="15.75" customHeight="1">
      <c r="K893" s="27"/>
    </row>
    <row r="894" ht="15.75" customHeight="1">
      <c r="K894" s="27"/>
    </row>
    <row r="895" ht="15.75" customHeight="1">
      <c r="K895" s="27"/>
    </row>
    <row r="896" ht="15.75" customHeight="1">
      <c r="K896" s="27"/>
    </row>
    <row r="897" ht="15.75" customHeight="1">
      <c r="K897" s="27"/>
    </row>
    <row r="898" ht="15.75" customHeight="1">
      <c r="K898" s="27"/>
    </row>
    <row r="899" ht="15.75" customHeight="1">
      <c r="K899" s="27"/>
    </row>
    <row r="900" ht="15.75" customHeight="1">
      <c r="K900" s="27"/>
    </row>
    <row r="901" ht="15.75" customHeight="1">
      <c r="K901" s="27"/>
    </row>
    <row r="902" ht="15.75" customHeight="1">
      <c r="K902" s="27"/>
    </row>
    <row r="903" ht="15.75" customHeight="1">
      <c r="K903" s="27"/>
    </row>
    <row r="904" ht="15.75" customHeight="1">
      <c r="K904" s="27"/>
    </row>
    <row r="905" ht="15.75" customHeight="1">
      <c r="K905" s="27"/>
    </row>
    <row r="906" ht="15.75" customHeight="1">
      <c r="K906" s="27"/>
    </row>
    <row r="907" ht="15.75" customHeight="1">
      <c r="K907" s="27"/>
    </row>
    <row r="908" ht="15.75" customHeight="1">
      <c r="K908" s="27"/>
    </row>
    <row r="909" ht="15.75" customHeight="1">
      <c r="K909" s="27"/>
    </row>
    <row r="910" ht="15.75" customHeight="1">
      <c r="K910" s="27"/>
    </row>
    <row r="911" ht="15.75" customHeight="1">
      <c r="K911" s="27"/>
    </row>
    <row r="912" ht="15.75" customHeight="1">
      <c r="K912" s="27"/>
    </row>
    <row r="913" ht="15.75" customHeight="1">
      <c r="K913" s="27"/>
    </row>
    <row r="914" ht="15.75" customHeight="1">
      <c r="K914" s="27"/>
    </row>
    <row r="915" ht="15.75" customHeight="1">
      <c r="K915" s="27"/>
    </row>
    <row r="916" ht="15.75" customHeight="1">
      <c r="K916" s="27"/>
    </row>
    <row r="917" ht="15.75" customHeight="1">
      <c r="K917" s="27"/>
    </row>
    <row r="918" ht="15.75" customHeight="1">
      <c r="K918" s="27"/>
    </row>
    <row r="919" ht="15.75" customHeight="1">
      <c r="K919" s="27"/>
    </row>
    <row r="920" ht="15.75" customHeight="1">
      <c r="K920" s="27"/>
    </row>
    <row r="921" ht="15.75" customHeight="1">
      <c r="K921" s="27"/>
    </row>
    <row r="922" ht="15.75" customHeight="1">
      <c r="K922" s="27"/>
    </row>
    <row r="923" ht="15.75" customHeight="1">
      <c r="K923" s="27"/>
    </row>
    <row r="924" ht="15.75" customHeight="1">
      <c r="K924" s="27"/>
    </row>
    <row r="925" ht="15.75" customHeight="1">
      <c r="K925" s="27"/>
    </row>
    <row r="926" ht="15.75" customHeight="1">
      <c r="K926" s="27"/>
    </row>
    <row r="927" ht="15.75" customHeight="1">
      <c r="K927" s="27"/>
    </row>
    <row r="928" ht="15.75" customHeight="1">
      <c r="K928" s="27"/>
    </row>
    <row r="929" ht="15.75" customHeight="1">
      <c r="K929" s="27"/>
    </row>
    <row r="930" ht="15.75" customHeight="1">
      <c r="K930" s="27"/>
    </row>
    <row r="931" ht="15.75" customHeight="1">
      <c r="K931" s="27"/>
    </row>
    <row r="932" ht="15.75" customHeight="1">
      <c r="K932" s="27"/>
    </row>
    <row r="933" ht="15.75" customHeight="1">
      <c r="K933" s="27"/>
    </row>
    <row r="934" ht="15.75" customHeight="1">
      <c r="K934" s="27"/>
    </row>
    <row r="935" ht="15.75" customHeight="1">
      <c r="K935" s="27"/>
    </row>
    <row r="936" ht="15.75" customHeight="1">
      <c r="K936" s="27"/>
    </row>
    <row r="937" ht="15.75" customHeight="1">
      <c r="K937" s="27"/>
    </row>
    <row r="938" ht="15.75" customHeight="1">
      <c r="K938" s="27"/>
    </row>
    <row r="939" ht="15.75" customHeight="1">
      <c r="K939" s="27"/>
    </row>
    <row r="940" ht="15.75" customHeight="1">
      <c r="K940" s="27"/>
    </row>
    <row r="941" ht="15.75" customHeight="1">
      <c r="K941" s="27"/>
    </row>
    <row r="942" ht="15.75" customHeight="1">
      <c r="K942" s="27"/>
    </row>
    <row r="943" ht="15.75" customHeight="1">
      <c r="K943" s="27"/>
    </row>
    <row r="944" ht="15.75" customHeight="1">
      <c r="K944" s="27"/>
    </row>
    <row r="945" ht="15.75" customHeight="1">
      <c r="K945" s="27"/>
    </row>
    <row r="946" ht="15.75" customHeight="1">
      <c r="K946" s="27"/>
    </row>
    <row r="947" ht="15.75" customHeight="1">
      <c r="K947" s="27"/>
    </row>
    <row r="948" ht="15.75" customHeight="1">
      <c r="K948" s="27"/>
    </row>
    <row r="949" ht="15.75" customHeight="1">
      <c r="K949" s="27"/>
    </row>
    <row r="950" ht="15.75" customHeight="1">
      <c r="K950" s="27"/>
    </row>
    <row r="951" ht="15.75" customHeight="1">
      <c r="K951" s="27"/>
    </row>
    <row r="952" ht="15.75" customHeight="1">
      <c r="K952" s="27"/>
    </row>
    <row r="953" ht="15.75" customHeight="1">
      <c r="K953" s="27"/>
    </row>
    <row r="954" ht="15.75" customHeight="1">
      <c r="K954" s="27"/>
    </row>
    <row r="955" ht="15.75" customHeight="1">
      <c r="K955" s="27"/>
    </row>
    <row r="956" ht="15.75" customHeight="1">
      <c r="K956" s="27"/>
    </row>
    <row r="957" ht="15.75" customHeight="1">
      <c r="K957" s="27"/>
    </row>
    <row r="958" ht="15.75" customHeight="1">
      <c r="K958" s="27"/>
    </row>
    <row r="959" ht="15.75" customHeight="1">
      <c r="K959" s="27"/>
    </row>
    <row r="960" ht="15.75" customHeight="1">
      <c r="K960" s="27"/>
    </row>
    <row r="961" ht="15.75" customHeight="1">
      <c r="K961" s="27"/>
    </row>
    <row r="962" ht="15.75" customHeight="1">
      <c r="K962" s="27"/>
    </row>
    <row r="963" ht="15.75" customHeight="1">
      <c r="K963" s="27"/>
    </row>
    <row r="964" ht="15.75" customHeight="1">
      <c r="K964" s="27"/>
    </row>
    <row r="965" ht="15.75" customHeight="1">
      <c r="K965" s="27"/>
    </row>
    <row r="966" ht="15.75" customHeight="1">
      <c r="K966" s="27"/>
    </row>
    <row r="967" ht="15.75" customHeight="1">
      <c r="K967" s="27"/>
    </row>
    <row r="968" ht="15.75" customHeight="1">
      <c r="K968" s="27"/>
    </row>
    <row r="969" ht="15.75" customHeight="1">
      <c r="K969" s="27"/>
    </row>
    <row r="970" ht="15.75" customHeight="1">
      <c r="K970" s="27"/>
    </row>
    <row r="971" ht="15.75" customHeight="1">
      <c r="K971" s="27"/>
    </row>
    <row r="972" ht="15.75" customHeight="1">
      <c r="K972" s="27"/>
    </row>
    <row r="973" ht="15.75" customHeight="1">
      <c r="K973" s="27"/>
    </row>
    <row r="974" ht="15.75" customHeight="1">
      <c r="K974" s="27"/>
    </row>
    <row r="975" ht="15.75" customHeight="1">
      <c r="K975" s="27"/>
    </row>
    <row r="976" ht="15.75" customHeight="1">
      <c r="K976" s="27"/>
    </row>
    <row r="977" ht="15.75" customHeight="1">
      <c r="K977" s="27"/>
    </row>
    <row r="978" ht="15.75" customHeight="1">
      <c r="K978" s="27"/>
    </row>
    <row r="979" ht="15.75" customHeight="1">
      <c r="K979" s="27"/>
    </row>
    <row r="980" ht="15.75" customHeight="1">
      <c r="K980" s="27"/>
    </row>
    <row r="981" ht="15.75" customHeight="1">
      <c r="K981" s="27"/>
    </row>
    <row r="982" ht="15.75" customHeight="1">
      <c r="K982" s="27"/>
    </row>
    <row r="983" ht="15.75" customHeight="1">
      <c r="K983" s="27"/>
    </row>
    <row r="984" ht="15.75" customHeight="1">
      <c r="K984" s="27"/>
    </row>
    <row r="985" ht="15.75" customHeight="1">
      <c r="K985" s="27"/>
    </row>
    <row r="986" ht="15.75" customHeight="1">
      <c r="K986" s="27"/>
    </row>
    <row r="987" ht="15.75" customHeight="1">
      <c r="K987" s="27"/>
    </row>
    <row r="988" ht="15.75" customHeight="1">
      <c r="K988" s="27"/>
    </row>
    <row r="989" ht="15.75" customHeight="1">
      <c r="K989" s="27"/>
    </row>
    <row r="990" ht="15.75" customHeight="1">
      <c r="K990" s="27"/>
    </row>
    <row r="991" ht="15.75" customHeight="1">
      <c r="K991" s="27"/>
    </row>
    <row r="992" ht="15.75" customHeight="1">
      <c r="K992" s="27"/>
    </row>
    <row r="993" ht="15.75" customHeight="1">
      <c r="K993" s="27"/>
    </row>
    <row r="994" ht="15.75" customHeight="1">
      <c r="K994" s="27"/>
    </row>
    <row r="995" ht="15.75" customHeight="1">
      <c r="K995" s="27"/>
    </row>
    <row r="996" ht="15.75" customHeight="1">
      <c r="K996" s="27"/>
    </row>
    <row r="997" ht="15.75" customHeight="1">
      <c r="K997" s="27"/>
    </row>
    <row r="998" ht="15.75" customHeight="1">
      <c r="K998" s="27"/>
    </row>
    <row r="999" ht="15.75" customHeight="1">
      <c r="K999" s="27"/>
    </row>
    <row r="1000" ht="15.75" customHeight="1">
      <c r="K1000" s="27"/>
    </row>
  </sheetData>
  <autoFilter ref="$A$1:$V$104"/>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5"/>
    <col customWidth="1" min="2" max="2" width="17.75"/>
    <col customWidth="1" min="3" max="3" width="12.25"/>
    <col customWidth="1" min="4" max="4" width="12.13"/>
    <col customWidth="1" min="5" max="5" width="13.0"/>
    <col customWidth="1" min="6" max="26" width="11.13"/>
  </cols>
  <sheetData>
    <row r="1" ht="15.75" hidden="1" customHeight="1">
      <c r="A1" s="1"/>
      <c r="B1" s="1" t="s">
        <v>429</v>
      </c>
      <c r="C1" s="1"/>
      <c r="D1" s="1"/>
      <c r="E1" s="1"/>
    </row>
    <row r="2" ht="15.75" customHeight="1">
      <c r="A2" s="1"/>
      <c r="B2" s="117" t="s">
        <v>444</v>
      </c>
      <c r="C2" s="117" t="s">
        <v>437</v>
      </c>
      <c r="D2" s="117" t="s">
        <v>439</v>
      </c>
      <c r="E2" s="117" t="s">
        <v>473</v>
      </c>
    </row>
    <row r="3" ht="15.75" customHeight="1">
      <c r="A3" s="118" t="s">
        <v>426</v>
      </c>
      <c r="B3" s="119">
        <v>1319085.82</v>
      </c>
      <c r="C3" s="119">
        <v>167038.65000000002</v>
      </c>
      <c r="D3" s="119">
        <v>1451141.9799999997</v>
      </c>
      <c r="E3" s="119">
        <v>2937266.45</v>
      </c>
    </row>
    <row r="4" ht="15.75" customHeight="1">
      <c r="A4" s="118" t="s">
        <v>474</v>
      </c>
      <c r="B4" s="1">
        <v>1000000.0</v>
      </c>
      <c r="D4" s="1">
        <v>1000000.0</v>
      </c>
    </row>
    <row r="5" ht="15.75" customHeight="1">
      <c r="A5" s="118"/>
      <c r="B5" s="120">
        <f>B3/B4</f>
        <v>1.31908582</v>
      </c>
      <c r="C5" s="121"/>
      <c r="D5" s="120">
        <f>D3/D4</f>
        <v>1.45114198</v>
      </c>
    </row>
    <row r="6" ht="15.75" customHeight="1">
      <c r="A6" s="118" t="s">
        <v>475</v>
      </c>
      <c r="B6" s="1">
        <v>1500000.0</v>
      </c>
      <c r="D6" s="1">
        <v>1500000.0</v>
      </c>
      <c r="E6" s="1">
        <v>3000000.0</v>
      </c>
    </row>
    <row r="7" ht="15.75" customHeight="1">
      <c r="A7" s="118"/>
      <c r="B7" s="120">
        <f>B3/B6</f>
        <v>0.8793905467</v>
      </c>
      <c r="C7" s="121"/>
      <c r="D7" s="120">
        <f t="shared" ref="D7:E7" si="1">D3/D6</f>
        <v>0.9674279867</v>
      </c>
      <c r="E7" s="120">
        <f t="shared" si="1"/>
        <v>0.9790888167</v>
      </c>
    </row>
    <row r="8" ht="15.75" customHeight="1"/>
    <row r="9" ht="15.75" customHeight="1">
      <c r="C9" s="123"/>
      <c r="D9" s="123"/>
      <c r="E9" s="124"/>
    </row>
    <row r="10" ht="15.75" customHeight="1">
      <c r="C10" s="126"/>
      <c r="D10" s="126"/>
      <c r="E10" s="127"/>
    </row>
    <row r="11" ht="15.75" customHeight="1">
      <c r="C11" s="126"/>
      <c r="D11" s="126"/>
      <c r="E11" s="127"/>
    </row>
    <row r="12" ht="15.75" customHeight="1">
      <c r="A12" s="128"/>
      <c r="B12" s="129"/>
      <c r="C12" s="11"/>
      <c r="D12" s="11"/>
      <c r="E12" s="130"/>
    </row>
    <row r="13" ht="15.75" customHeight="1">
      <c r="A13" s="128"/>
      <c r="B13" s="129"/>
      <c r="C13" s="11"/>
      <c r="D13" s="11"/>
      <c r="E13" s="130"/>
    </row>
    <row r="14" ht="15.75" customHeight="1">
      <c r="A14" s="128"/>
      <c r="B14" s="129"/>
      <c r="C14" s="11"/>
      <c r="D14" s="11"/>
      <c r="E14" s="130"/>
    </row>
    <row r="15" ht="15.75" customHeight="1">
      <c r="A15" s="128"/>
      <c r="B15" s="129"/>
      <c r="C15" s="11"/>
      <c r="D15" s="11"/>
      <c r="E15" s="130"/>
    </row>
    <row r="16" ht="15.75" customHeight="1">
      <c r="A16" s="128"/>
      <c r="B16" s="129"/>
      <c r="C16" s="11"/>
      <c r="D16" s="11"/>
      <c r="E16" s="130"/>
    </row>
    <row r="17" ht="15.75" customHeight="1">
      <c r="A17" s="128"/>
      <c r="B17" s="129"/>
      <c r="C17" s="11"/>
      <c r="D17" s="11"/>
      <c r="E17" s="130"/>
    </row>
    <row r="18" ht="15.75" customHeight="1">
      <c r="A18" s="128"/>
      <c r="B18" s="129"/>
      <c r="C18" s="11"/>
      <c r="D18" s="11"/>
      <c r="E18" s="130"/>
    </row>
    <row r="19" ht="15.75" customHeight="1">
      <c r="A19" s="128"/>
      <c r="B19" s="129"/>
      <c r="C19" s="11"/>
      <c r="D19" s="11"/>
      <c r="E19" s="130"/>
    </row>
    <row r="20" ht="15.75" customHeight="1">
      <c r="A20" s="128"/>
      <c r="B20" s="129"/>
      <c r="C20" s="11"/>
      <c r="D20" s="11"/>
      <c r="E20" s="130"/>
    </row>
    <row r="21" ht="15.75" customHeight="1">
      <c r="A21" s="128"/>
      <c r="B21" s="129"/>
      <c r="C21" s="11"/>
      <c r="D21" s="11"/>
      <c r="E21" s="130"/>
    </row>
    <row r="22" ht="15.75" customHeight="1">
      <c r="A22" s="128"/>
      <c r="B22" s="129"/>
      <c r="C22" s="11"/>
      <c r="D22" s="11"/>
      <c r="E22" s="130"/>
    </row>
    <row r="23" ht="15.75" customHeight="1">
      <c r="A23" s="128"/>
      <c r="B23" s="129"/>
      <c r="C23" s="11"/>
      <c r="D23" s="11"/>
      <c r="E23" s="130"/>
    </row>
    <row r="24" ht="15.75" customHeight="1">
      <c r="A24" s="128"/>
      <c r="B24" s="129"/>
      <c r="C24" s="11"/>
      <c r="D24" s="11"/>
      <c r="E24" s="130"/>
    </row>
    <row r="25" ht="15.75" customHeight="1">
      <c r="A25" s="128"/>
      <c r="B25" s="129"/>
      <c r="C25" s="11"/>
      <c r="D25" s="11"/>
      <c r="E25" s="130"/>
    </row>
    <row r="26" ht="15.75" customHeight="1">
      <c r="A26" s="128"/>
      <c r="B26" s="129"/>
      <c r="C26" s="11"/>
      <c r="D26" s="11"/>
      <c r="E26" s="130"/>
    </row>
    <row r="27" ht="15.75" customHeight="1">
      <c r="A27" s="131"/>
      <c r="B27" s="132"/>
      <c r="C27" s="133"/>
      <c r="D27" s="133"/>
      <c r="E27" s="134"/>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